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Padat Karya\"/>
    </mc:Choice>
  </mc:AlternateContent>
  <xr:revisionPtr revIDLastSave="0" documentId="8_{F3C387C0-3943-4AB1-B246-CB1335DC55C9}" xr6:coauthVersionLast="47" xr6:coauthVersionMax="47" xr10:uidLastSave="{00000000-0000-0000-0000-000000000000}"/>
  <bookViews>
    <workbookView xWindow="10710" yWindow="0" windowWidth="10980" windowHeight="12870" xr2:uid="{00000000-000D-0000-FFFF-FFFF00000000}"/>
  </bookViews>
  <sheets>
    <sheet name="Chart Data" sheetId="5" r:id="rId1"/>
    <sheet name="My Series" sheetId="1" r:id="rId2"/>
    <sheet name="My Series (2)" sheetId="2" r:id="rId3"/>
    <sheet name="My Series (3)" sheetId="3" r:id="rId4"/>
    <sheet name="My Series (4)" sheetId="4" r:id="rId5"/>
    <sheet name="My Series (5)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7" i="5" l="1"/>
  <c r="P17" i="5"/>
  <c r="T16" i="5"/>
  <c r="P16" i="5"/>
  <c r="T15" i="5"/>
  <c r="P15" i="5"/>
  <c r="T14" i="5"/>
  <c r="P14" i="5"/>
  <c r="T13" i="5"/>
  <c r="P13" i="5"/>
  <c r="T12" i="5"/>
  <c r="P12" i="5"/>
  <c r="T11" i="5"/>
  <c r="P11" i="5"/>
  <c r="T10" i="5"/>
  <c r="P10" i="5"/>
  <c r="T9" i="5"/>
  <c r="P9" i="5"/>
  <c r="T8" i="5"/>
  <c r="P8" i="5"/>
  <c r="T7" i="5"/>
  <c r="P7" i="5"/>
  <c r="T6" i="5"/>
  <c r="P6" i="5"/>
  <c r="T5" i="5"/>
  <c r="P5" i="5"/>
  <c r="T4" i="5"/>
  <c r="P4" i="5"/>
  <c r="T3" i="5"/>
  <c r="P3" i="5"/>
  <c r="T2" i="5"/>
  <c r="P2" i="5"/>
  <c r="J17" i="5" a="1"/>
  <c r="J17" i="5" s="1"/>
  <c r="K17" i="5" s="1"/>
  <c r="U17" i="5" s="1"/>
  <c r="I17" i="5" a="1"/>
  <c r="I17" i="5" s="1"/>
  <c r="V17" i="5" s="1"/>
  <c r="D17" i="5" a="1"/>
  <c r="D17" i="5" s="1"/>
  <c r="E17" i="5" s="1"/>
  <c r="C17" i="5" a="1"/>
  <c r="C17" i="5" s="1"/>
  <c r="R17" i="5" s="1"/>
  <c r="C16" i="5" a="1"/>
  <c r="C16" i="5" s="1"/>
  <c r="R16" i="5" s="1"/>
  <c r="J16" i="5" a="1"/>
  <c r="J16" i="5" s="1"/>
  <c r="K16" i="5" s="1"/>
  <c r="U16" i="5" s="1"/>
  <c r="J15" i="5" a="1"/>
  <c r="J15" i="5" s="1"/>
  <c r="K15" i="5" s="1"/>
  <c r="U15" i="5" s="1"/>
  <c r="J14" i="5" a="1"/>
  <c r="J14" i="5" s="1"/>
  <c r="K14" i="5" s="1"/>
  <c r="U14" i="5" s="1"/>
  <c r="J13" i="5" a="1"/>
  <c r="J13" i="5" s="1"/>
  <c r="K13" i="5" s="1"/>
  <c r="U13" i="5" s="1"/>
  <c r="J12" i="5" a="1"/>
  <c r="J12" i="5" s="1"/>
  <c r="K12" i="5" s="1"/>
  <c r="U12" i="5" s="1"/>
  <c r="J11" i="5" a="1"/>
  <c r="J11" i="5" s="1"/>
  <c r="K11" i="5" s="1"/>
  <c r="U11" i="5" s="1"/>
  <c r="J10" i="5" a="1"/>
  <c r="J10" i="5" s="1"/>
  <c r="K10" i="5" s="1"/>
  <c r="U10" i="5" s="1"/>
  <c r="J9" i="5" a="1"/>
  <c r="J9" i="5" s="1"/>
  <c r="K9" i="5" s="1"/>
  <c r="U9" i="5" s="1"/>
  <c r="J8" i="5" a="1"/>
  <c r="J8" i="5" s="1"/>
  <c r="K8" i="5" s="1"/>
  <c r="U8" i="5" s="1"/>
  <c r="J7" i="5" a="1"/>
  <c r="J7" i="5" s="1"/>
  <c r="K7" i="5" s="1"/>
  <c r="U7" i="5" s="1"/>
  <c r="J6" i="5" a="1"/>
  <c r="J6" i="5" s="1"/>
  <c r="K6" i="5" s="1"/>
  <c r="U6" i="5" s="1"/>
  <c r="J5" i="5" a="1"/>
  <c r="J5" i="5" s="1"/>
  <c r="K5" i="5" s="1"/>
  <c r="U5" i="5" s="1"/>
  <c r="J4" i="5" a="1"/>
  <c r="J4" i="5" s="1"/>
  <c r="K4" i="5" s="1"/>
  <c r="U4" i="5" s="1"/>
  <c r="J3" i="5" a="1"/>
  <c r="J3" i="5" s="1"/>
  <c r="K3" i="5" s="1"/>
  <c r="U3" i="5" s="1"/>
  <c r="J2" i="5" a="1"/>
  <c r="J2" i="5" s="1"/>
  <c r="K2" i="5" s="1"/>
  <c r="U2" i="5" s="1"/>
  <c r="I16" i="5" a="1"/>
  <c r="I16" i="5" s="1"/>
  <c r="V16" i="5" s="1"/>
  <c r="D16" i="5" a="1"/>
  <c r="D16" i="5" s="1"/>
  <c r="E16" i="5" s="1"/>
  <c r="Q16" i="5" s="1"/>
  <c r="I15" i="5" a="1"/>
  <c r="I15" i="5" s="1"/>
  <c r="V15" i="5" s="1"/>
  <c r="D15" i="5" a="1"/>
  <c r="D15" i="5" s="1"/>
  <c r="E15" i="5" s="1"/>
  <c r="Q15" i="5" s="1"/>
  <c r="C15" i="5" a="1"/>
  <c r="C15" i="5" s="1"/>
  <c r="R15" i="5" s="1"/>
  <c r="I14" i="5" a="1"/>
  <c r="I14" i="5" s="1"/>
  <c r="V14" i="5" s="1"/>
  <c r="D14" i="5" a="1"/>
  <c r="D14" i="5" s="1"/>
  <c r="E14" i="5" s="1"/>
  <c r="Q14" i="5" s="1"/>
  <c r="C14" i="5" a="1"/>
  <c r="C14" i="5" s="1"/>
  <c r="R14" i="5" s="1"/>
  <c r="I13" i="5" a="1"/>
  <c r="I13" i="5" s="1"/>
  <c r="V13" i="5" s="1"/>
  <c r="D13" i="5" a="1"/>
  <c r="D13" i="5" s="1"/>
  <c r="E13" i="5" s="1"/>
  <c r="Q13" i="5" s="1"/>
  <c r="C13" i="5" a="1"/>
  <c r="C13" i="5" s="1"/>
  <c r="R13" i="5" s="1"/>
  <c r="I12" i="5" a="1"/>
  <c r="I12" i="5" s="1"/>
  <c r="V12" i="5" s="1"/>
  <c r="D12" i="5" a="1"/>
  <c r="D12" i="5" s="1"/>
  <c r="E12" i="5" s="1"/>
  <c r="Q12" i="5" s="1"/>
  <c r="C12" i="5" a="1"/>
  <c r="C12" i="5" s="1"/>
  <c r="R12" i="5" s="1"/>
  <c r="I11" i="5" a="1"/>
  <c r="I11" i="5" s="1"/>
  <c r="V11" i="5" s="1"/>
  <c r="D11" i="5" a="1"/>
  <c r="D11" i="5" s="1"/>
  <c r="E11" i="5" s="1"/>
  <c r="Q11" i="5" s="1"/>
  <c r="C11" i="5" a="1"/>
  <c r="C11" i="5" s="1"/>
  <c r="R11" i="5" s="1"/>
  <c r="I10" i="5" a="1"/>
  <c r="I10" i="5" s="1"/>
  <c r="V10" i="5" s="1"/>
  <c r="D10" i="5" a="1"/>
  <c r="D10" i="5" s="1"/>
  <c r="E10" i="5" s="1"/>
  <c r="Q10" i="5" s="1"/>
  <c r="C10" i="5" a="1"/>
  <c r="C10" i="5" s="1"/>
  <c r="R10" i="5" s="1"/>
  <c r="I9" i="5" a="1"/>
  <c r="I9" i="5" s="1"/>
  <c r="V9" i="5" s="1"/>
  <c r="D9" i="5" a="1"/>
  <c r="D9" i="5" s="1"/>
  <c r="E9" i="5" s="1"/>
  <c r="Q9" i="5" s="1"/>
  <c r="C9" i="5" a="1"/>
  <c r="C9" i="5" s="1"/>
  <c r="R9" i="5" s="1"/>
  <c r="I8" i="5" a="1"/>
  <c r="I8" i="5" s="1"/>
  <c r="V8" i="5" s="1"/>
  <c r="D8" i="5" a="1"/>
  <c r="D8" i="5" s="1"/>
  <c r="E8" i="5" s="1"/>
  <c r="Q8" i="5" s="1"/>
  <c r="C8" i="5" a="1"/>
  <c r="C8" i="5" s="1"/>
  <c r="R8" i="5" s="1"/>
  <c r="I7" i="5" a="1"/>
  <c r="I7" i="5" s="1"/>
  <c r="V7" i="5" s="1"/>
  <c r="D7" i="5" a="1"/>
  <c r="D7" i="5" s="1"/>
  <c r="E7" i="5" s="1"/>
  <c r="Q7" i="5" s="1"/>
  <c r="C7" i="5" a="1"/>
  <c r="C7" i="5" s="1"/>
  <c r="R7" i="5" s="1"/>
  <c r="I6" i="5" a="1"/>
  <c r="I6" i="5" s="1"/>
  <c r="V6" i="5" s="1"/>
  <c r="D6" i="5" a="1"/>
  <c r="D6" i="5" s="1"/>
  <c r="E6" i="5" s="1"/>
  <c r="Q6" i="5" s="1"/>
  <c r="C6" i="5" a="1"/>
  <c r="C6" i="5" s="1"/>
  <c r="R6" i="5" s="1"/>
  <c r="I5" i="5" a="1"/>
  <c r="I5" i="5" s="1"/>
  <c r="V5" i="5" s="1"/>
  <c r="D5" i="5" a="1"/>
  <c r="D5" i="5" s="1"/>
  <c r="E5" i="5" s="1"/>
  <c r="Q5" i="5" s="1"/>
  <c r="C5" i="5" a="1"/>
  <c r="C5" i="5" s="1"/>
  <c r="R5" i="5" s="1"/>
  <c r="I4" i="5" a="1"/>
  <c r="I4" i="5" s="1"/>
  <c r="V4" i="5" s="1"/>
  <c r="D4" i="5" a="1"/>
  <c r="D4" i="5" s="1"/>
  <c r="E4" i="5" s="1"/>
  <c r="Q4" i="5" s="1"/>
  <c r="C4" i="5" a="1"/>
  <c r="C4" i="5" s="1"/>
  <c r="R4" i="5" s="1"/>
  <c r="I3" i="5" a="1"/>
  <c r="I3" i="5" s="1"/>
  <c r="V3" i="5" s="1"/>
  <c r="D3" i="5" a="1"/>
  <c r="D3" i="5" s="1"/>
  <c r="E3" i="5" s="1"/>
  <c r="Q3" i="5" s="1"/>
  <c r="C3" i="5" a="1"/>
  <c r="C3" i="5" s="1"/>
  <c r="R3" i="5" s="1"/>
  <c r="I2" i="5" a="1"/>
  <c r="I2" i="5" s="1"/>
  <c r="V2" i="5" s="1"/>
  <c r="D2" i="5" a="1"/>
  <c r="D2" i="5" s="1"/>
  <c r="E2" i="5" s="1"/>
  <c r="Q2" i="5" s="1"/>
  <c r="C2" i="5" a="1"/>
  <c r="C2" i="5" s="1"/>
  <c r="R2" i="5" s="1"/>
  <c r="A1" i="3"/>
  <c r="A1" i="4"/>
  <c r="A1" i="2"/>
  <c r="A1" i="1"/>
  <c r="A1" i="6"/>
  <c r="F17" i="5" l="1"/>
  <c r="H17" i="5" s="1"/>
  <c r="Q17" i="5"/>
  <c r="F2" i="5"/>
  <c r="L17" i="5"/>
  <c r="N17" i="5" s="1"/>
  <c r="F7" i="5"/>
  <c r="H7" i="5" s="1"/>
  <c r="L15" i="5"/>
  <c r="M15" i="5" s="1"/>
  <c r="L7" i="5"/>
  <c r="M7" i="5" s="1"/>
  <c r="L11" i="5"/>
  <c r="M11" i="5" s="1"/>
  <c r="L3" i="5"/>
  <c r="M3" i="5" s="1"/>
  <c r="F3" i="5"/>
  <c r="H3" i="5" s="1"/>
  <c r="L8" i="5"/>
  <c r="M8" i="5" s="1"/>
  <c r="L10" i="5"/>
  <c r="M10" i="5" s="1"/>
  <c r="F12" i="5"/>
  <c r="G12" i="5" s="1"/>
  <c r="L5" i="5"/>
  <c r="M5" i="5" s="1"/>
  <c r="F14" i="5"/>
  <c r="H14" i="5" s="1"/>
  <c r="L4" i="5"/>
  <c r="M4" i="5" s="1"/>
  <c r="L6" i="5"/>
  <c r="M6" i="5" s="1"/>
  <c r="F8" i="5"/>
  <c r="H8" i="5" s="1"/>
  <c r="F13" i="5"/>
  <c r="H13" i="5" s="1"/>
  <c r="F10" i="5"/>
  <c r="G10" i="5" s="1"/>
  <c r="L16" i="5"/>
  <c r="M16" i="5" s="1"/>
  <c r="F5" i="5"/>
  <c r="G5" i="5" s="1"/>
  <c r="L2" i="5"/>
  <c r="M2" i="5" s="1"/>
  <c r="F4" i="5"/>
  <c r="G4" i="5" s="1"/>
  <c r="F6" i="5"/>
  <c r="H6" i="5" s="1"/>
  <c r="L12" i="5"/>
  <c r="M12" i="5" s="1"/>
  <c r="L14" i="5"/>
  <c r="M14" i="5" s="1"/>
  <c r="F16" i="5"/>
  <c r="G16" i="5" s="1"/>
  <c r="L13" i="5"/>
  <c r="M13" i="5" s="1"/>
  <c r="G2" i="5"/>
  <c r="F9" i="5"/>
  <c r="H9" i="5" s="1"/>
  <c r="L9" i="5"/>
  <c r="M9" i="5" s="1"/>
  <c r="F11" i="5"/>
  <c r="H11" i="5" s="1"/>
  <c r="F15" i="5"/>
  <c r="G15" i="5" s="1"/>
  <c r="G17" i="5" l="1"/>
  <c r="G3" i="5"/>
  <c r="N11" i="5"/>
  <c r="N3" i="5"/>
  <c r="M17" i="5"/>
  <c r="H10" i="5"/>
  <c r="N7" i="5"/>
  <c r="G6" i="5"/>
  <c r="G7" i="5"/>
  <c r="N15" i="5"/>
  <c r="H12" i="5"/>
  <c r="G11" i="5"/>
  <c r="G9" i="5"/>
  <c r="N9" i="5"/>
  <c r="N5" i="5"/>
  <c r="N16" i="5"/>
  <c r="G13" i="5"/>
  <c r="N8" i="5"/>
  <c r="N2" i="5"/>
  <c r="H4" i="5"/>
  <c r="G8" i="5"/>
  <c r="H15" i="5"/>
  <c r="G14" i="5"/>
  <c r="H5" i="5"/>
  <c r="N10" i="5"/>
  <c r="H2" i="5"/>
  <c r="N14" i="5"/>
  <c r="N12" i="5"/>
  <c r="N13" i="5"/>
  <c r="N6" i="5"/>
  <c r="H16" i="5"/>
  <c r="N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B2" authorId="0" shapeId="0" xr:uid="{DC701F63-7DCF-453C-92F3-2A89D0AF0156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3" authorId="0" shapeId="0" xr:uid="{AA758B40-575D-4C81-B077-6C049B802722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4" authorId="0" shapeId="0" xr:uid="{45931069-BA82-4160-AE01-98EB996B0AB7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5" authorId="0" shapeId="0" xr:uid="{30D70E09-29EA-4BB5-A9E6-E695B736840D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6" authorId="0" shapeId="0" xr:uid="{53DF7CD6-654B-431E-BBD7-AD2BFEB10453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7" authorId="0" shapeId="0" xr:uid="{0D77FFA5-964F-4C90-8C74-93FA49E0E62D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8" authorId="0" shapeId="0" xr:uid="{2A6DC8E6-B953-429D-812B-92DCF9DA8FE6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9" authorId="0" shapeId="0" xr:uid="{94F0EC03-DF35-48E5-8367-77CF914AFCB3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10" authorId="0" shapeId="0" xr:uid="{8B7ADCC1-94B7-4127-89AA-223E76E9F427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11" authorId="0" shapeId="0" xr:uid="{1F616812-A7B3-4964-A2A3-C1B5B107493A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12" authorId="0" shapeId="0" xr:uid="{4F14BDF7-B278-4C97-BC86-DBBC6411103E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13" authorId="0" shapeId="0" xr:uid="{161A605E-A0C3-44F9-959A-6F2F3C67D18E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14" authorId="0" shapeId="0" xr:uid="{CE86B2E9-42B5-4C2A-8DFC-EDF30CC3B5A5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15" authorId="0" shapeId="0" xr:uid="{EC118CB6-D5EA-4BB6-8348-35A730952376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16" authorId="0" shapeId="0" xr:uid="{C93E0F61-1ED7-4AB4-8113-5DE37FD2DFCC}">
      <text>
        <r>
          <rPr>
            <b/>
            <sz val="9"/>
            <color indexed="81"/>
            <rFont val="Tahoma"/>
            <family val="2"/>
          </rPr>
          <t>USD/IDR annual average. Editable input — verify against Bank Indonesia / World Bank.</t>
        </r>
      </text>
    </comment>
    <comment ref="B17" authorId="0" shapeId="0" xr:uid="{D25395F8-A4E5-4F29-B336-BC8CDD85C954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USD/IDR 2025 annual average (estimate). Editable input — verify against your source.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>9jUAAB+LCAAAAAAAAAPtG21v4jj6r0R8ON1JQ51AhymMJycK7RzbAt2GTqefViYx1NfEZm2nLffrT7bz4kBom5ndvdXtSJWKnzc/fmw/bxj4z+ckdh4xF4TRTy3vyG05mIYsInT9qZXKVdvrtf7pw7PnEMdXiKMES8yF85zEVAyeRfSpdS/lZgDA09PT0VP3iPE16LiuB75OL4PwHieoVRCT14nbhAqJaIhbPhxuNgFLeYgnkRHxqTUJJkcjTMIxkmiKKFpjfnSaCkKxEGdUEkmwaPmj8XSGnyUElgQfDjlH2+AeYykaiQM+HEXJFEsUIYmaaQJHHCOJR+PpaUriyO8c9Y68Iw+CHXhJ98VshaG06HJ4RjlGEi9Igv2O2+m13V7bO1m4HwbeyaDbzbkKGniJhAwwfyShBgQSJRvN6R53jt33793uBwhqiSCw1u7DUco5plKfhhGLL0lCZDOLuBDUCfHhmD3RmKFoKCYJWuNmUiVPMQQ7IkqZ14g2lWhOvGb04TnhQn5VumefDOSugNwZG3/1O8aOX834zv/QNYA7H+qjN0MJ9qdbJ8CcYAFBCYTAnhFUVM+0GYaSMNrY3hZvJmiE47jxJdCcnzna3Ct9v517QWTcmP2ccRwiIb9J8wkVZH0vG7oRxSjmcZTdvGZmX6FYYAhsAT68JPShqS8Lw36nH6FVu+d2++3jbv+kfeJ9WLW775H7HvVC7PVDCIxkHxo5CaZyyqKGJ96DoMruwxl+mvNr/EgEjhabSyzE4p5wuR2jbeNNmC//jUN5FhGplP1GbnWIzkmMv12E9gzfJ+IKrb+DO0iXi+2m8QUwzI05/dzRlPw+nMdRtqnfdJ2MyEsiGrr+jNGHI3W4guvjk67X6/ch0GM4YimVfOtPaMQoFgQphAHlOE04GReICqP2ovvMxrlag0sWoti/xpt0GZPQYSunnsnQZSEv3I4YzdKkIN1sGJdZ0DmMh8ocSySwVnMYnA1nEFRgBYVWUlM4VxwnJE2cHFWymJXYI6PizexiNr+dVQkz7VUOMF8NI5XP+a7rem39t3Ddgf7TTCUFHBOxiVFuy0cspPIGzjVGMfkPUiFk4ChfTNZ04AQ4ZDRCXIWzUDI+cC4xkveYO58Zi4TzN5RsPjrnjMknjLgycyrkFgJ7knxGczYmkd/pvj85PvbcTkFXoKq0C7T2x/OfLobj0Q6pwuS0N5RI/yYYOwktqDTMJsjsGIydn1KJKnSZHc9opAyVpVvdqglzJDzn+NdUHQb/5xRxiXm8haAElni9+z97FtKch8pwzsmaUBTvExaYkmGMRcjJRgf5YvJ3DqZqX53WFPF3zk8pxe+cAG/eOWMctiyhNnetTGOGBSdPaYwoovW8mbEK1GfO0o1Zq8VQQmsoy0XXcdQsXOP0UaqzeYmt4XhhUTs08DylOoGyFgtK6BnnjCv9gA//hcTZs7zGCeIPwp9BUAVAHYD0OdVquRDsQOBEjFAcpjGSOJ+gzCf2UXAi9slsrPHIUeavyjGciBl+ypzyTGHKIZyIm02EJI4MAPjwAm89pa7+r9PboRAsJNor5HcUGIzhtQqU43bn2LoxOzTwEm1ZKgOJZKqm+n3dj7GyHQpQTAQSxDFTIkEGzlAQulZzPEjG1b+URpgPMimcOKeII7p2LtKYSCdCtMQMYyScC/RAzFTZCZqlyRUjVArfO3YhKIdwziPMVfplPsArpMojkH+4wFtl9nKQwXUs93KEiexXnEVpKLM4OYPABuTYwsxXnD2SCHPgw+x46uiuD46J0aOTE6/XhcAG5hQvbFLBYExtDQ5avMKSmSzAG8SRZDw/1yUABuai4iIfqYaOMmaYT2bN/iLHZOMK1naCqlx6xFXqipM8gDCaDx8kWR1kLlZnYtUyxtkW70BgTZyzAlxWq+s9GZ1NRsPgTOMLIDS9j8wvmUE1SXKs7RsxxiNCkVTx4pQhHkFg8Vj8Rv9TpA79RcYliHOFKaIoQdSZsgjFNne+Yom41JHS6/fdvTBaoqG2gV7E4lQdwT4EJchgtVb6kzMZH81PB86rDuP04mo6cJbb/KpuB85NMM5Em1UWH7PYgJY4zuW/5CeM6CmmKU9l4Qp25Wd2WCC+xlI7ywXbkNAs9Oqk1+94EJQgg925ZxlBpm7+0Ui2btMOBir/AHxYSYdMHnQjMM+uy1iFgcrYwuoZK3ijQzlWx7JCoM+pGuqZMpSZNSuKgQ9vA73YB/cXqyTIgPA2KGLrHkWJycmmWAi0Vuu8ZfxBbJDu/LkQ2MP8Ev2oR37UI/8P9cj7ttd5tR65w+jlYmT41mJkj/CVYmRIaYrishJRlYc65BiF984WI/5HliF3jcuQWo4Xy5A9U/+ONYg//Pz5+uzzcHH2dzPtR1XZ4WSJ+UcnSJOPzoz9A4I6ztriJYcJ1UqU9/lwvsmAzaeuTDkmq9XdivGveUJXAoqpy20ZciLvEyxJON9gri+7KNdib18GUvesZHLquPRVnET++fXPwc0UgkleBpWlkxpkOblr5+TZV1/GMsU4ix4r/mseN3QmPprPgsVwtoDAJOZfUJxi/+5seH15B4EZqX5rRVKdYEyjK8wJi94g3uscFA3sBZiKYTfqWdA882TGhNjoAoqwBSoREFTCGdgPbuClqJXZ/Y1hC1QDDqiJP+C7ogzYiwC7kAVag4q3Bvu+G5Qeunb6fQ8Ndvzt7jh3OaDeMR4A58rsu7BaYN0khReqBRYTvLk/8ufsf4DfsONRu+Nv6HgAqykB7IZBTbsA/FZtAtC8LQAqFT3Yr+9B49IdVAtqcLC+PowpZ35zWQ0qRTQ4WDCDveoX2MVs7X7XFbPAqi/Bbq1pF4PAquzAbpUHKsVc9m+ETD355yjmQKVwA99Wn1nRB9QmI8DKVv6nXdfcsfxouv55m67dXk3PtVPkd3nky0xKV4wnyOzlW8r5P75MbVgAvlrjNayRXq10Dlr+Ld3aF713tYm4u3TL79b0usAL+/yj7f5XbLt7f7m2+ws35kfb/a/Xdvd+WXaXH05w6LVRb4Xbxyg8bvdPem572e+doFW32+t0wwMd+bczf3ezHpTPjsr+xDBq/KYvZx3jGMvGz7By7il7bMyrdiFLXhs+nBqKhwBL5SJE7pNtEBymkq2IHLE4TWhJUoXC0xjRh/lSGB38LJ3QUAh2kIZYjFIhWbLAz1L3cNRAeYpzHTWzRosZ+Go2FUpD01zJoKYVwwmmUruFoQjzx7r7iF3isQiLRuE+Bo5xSBIUX8UoxELlclUAHOMVSmO5a7ldMLQNUTYmLRgcMyqHMeZyTETIqCQ0xVFBWosseSopffFSuRZZPFieUFUVqLfB5Sx7mCq1ujWnjD3UMhTIgmdO4+2CIypUBlQosMNbT1TIUCGWCEnCPUYLs/N0qtf2PtRmqiSO8zN4S+T9bJjLrMEoaon5Qfp9nHpAHOIzur5EdJ2qx+E59S4c6kfK5qWpOcMZ5R4cTmgYpxHezyWzou8QWjd6M08wYnFsMjDl2UzbZ74UmD8aWs80f2wQtC7ChObX28xZi6oyXLOnYr/2ESo73WCuHM8pi6NzRgsD1GDg3uKMf0Z0a56qCjKQ2w3+1HoW0UDFZrpu+WFZOkGQkb7GE5Ud1jfziCITejNLyCKbGBxYX3DPnpTDM2etyJOrUE2lTrf5KYXZoCpMk6hbFqRLlagucTQ+tcXt4TSHlQeUUu3koMzpOq7bf7E5hZMN4yguuivVK5/r8hpZIWeaxpLstGpUwkUSfK6+gfBPt2piCEoIvOFx7jh89QMhMQAgjJKjEJNQ/e7kKGSJAoDReHobQGDTQ3XB1Wv1eIRisjRf+ORa1+LKdCNrr91ytFEhruDKxyZxKvpNXwh+av4bgi9EpCjW3YKGYd+FwGbORTVXAez8esv/L7pWo372NQA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2C97639-14F4-42AF-A624-CB4D3807A470}">
      <text>
        <r>
          <rPr>
            <sz val="8"/>
            <color indexed="81"/>
            <rFont val="Tahoma"/>
            <family val="2"/>
          </rPr>
          <t>WjUAAB+LCAAAAAAAAAPtG2tT4zjyr7j4dFc1QU6AABmNt0ICc5khCYPDMHzaUuxO0GHLWUkGcr/+SpIfcuIAntnd26udKqqI+qVWS+pXFPzLcxw5j8AFTdiHvfa+u+cAC5KQsuWHvVQuWu3u3i8ePn8OILoinMQggQvnOY6Y6D2L8MPevZSrHkJPT0/7Twf7CV+ijuu20bfxpR/cQ0z2CmL6OnGLMiEJC2DPw/3Vyk9SHsAoNCI+7I380f4AaDAkkowJI0vg+2epoAyEOGeSSgpizxsMxxN4lhhZEjzc55ys/XsAKRqJQx4ehPEYJAmJJM00wQMORMJgOD5LaRR6nf3ufnu/jdEGvKT7arbCUFp0OTyjHBIJMxqD13E73ZbbbbVPZu5xr33UOzzKuQoafEmE9IE/0kADfEnileZ0DzuH7tGRe3CMUS0RRtbaPTxIOQcm9WkYJNEljalsZhEXozohHh4mTyxKSNgXo5gsoZlUyVPAaENEKfOasKYSzYnXjB6+oFzIb0r37JOB3BWQO2Pjb17H2PGbGd95xwcGcOdhffQmJAZvvHZ84BQERiUQI3tGVFE906YfSJqwxva2eDNBA4iixpdAc37kZHWv9P1+7hmVUWP2i4RDQIT8Ls1HTNDlvWzoRhSjmEZhdvOamX1BIgEY2QI8fEnZQ1NfNu+6iyO3027NTw/mrcMuQIt0umFrfrToBsHpKTk4UXdXS/awkRMDk+MkbHji2xhV2T08gacpv4ZHKiCcrS5BiNk95XI9JOvGmzCd/xsCeR5SqZT9Tm51iC5oBN8vQnuGHxNxRZY/wO2n89l61fgCGObGnF7uaEp+D0+jMNvU77pORuQlFQ1df8bo4YE6XP714clB++D4FCM9xoMkZZKvvRELEwaCEoUwoBynCUfDAlFh1F50m9k4V2twmQQk8q5hlc4jGjjJwqlnMnRZyAvWg4RlaZKfrlYJl1nQ2Y3HyhxzIkCr2ffP+xOMKrCCQiupKZwrDjFNYydHlSxmJfbIqHgz+TyZ3k6qhJn2KgeYLvqhyuc813XbLf03c92e/tNMJQUeUrGKSG7LRxBSeQPnGkhE/0NUCOk5yhfTJes5PgQJCwlX4SyQCe85M3iWNAJl0VRIvsbIFphLN+dgFHqdg6OTw0PX7RR0BapKOyNLbzj99Lk/PNsgVZic9oZR6d34QydmBZWG2QSZzfyh8ymVpEKX2eychcooWWp1UDVXjsQXHH5L1cZ7X1LCJfBojVEJLPF6p7+0LaTZ+8pwyumSMhJtExaYkmEIIuB0pQN6Mfk7B5jaQ2dvTPg751PK4J3jw+qdM4RgzxJqc9fKNGaYcfqURoQRVs+bGatAfeRJujJrtRhKaA1lueg6jpqFa5w+SnU2L7E1HC8saoMGX6RMJ0vWYlEJPec84Uo/5OF/EXH+LK8hJvxBeBOMqgCsg40+p1otF6MNCB6JAYmCNCIS8gnK3GEbhUdim8zGGu8bZr6pHOORmMBT5oAnClMO8UjcrEIiITQA5OHPsG4rdfV/ncr2hUgCqj1AfkeRwRheqxg5bHUOrRuzQYMvyTpJpS+JTNVUv5+rMRa1XTyJqCCCOkY8EbTn9AVlSyXvQSZc/UtZCLyXi6HODB6EpJERl52ISRpfJZRJ4bVVeVUO8ZSHwFXqZD7gK6JKG5R/+AxrZcZykMF1HG7nCBOVr3gSpoHMYtwEIxuQYwuzXfHkkYbAkYez46Yjsz4IJr4OTk7a3QOMbGBO8YLRCwZjTmuw06oVlsxkPqwIJzLh+TktAdg3Fw+KXKIaCsoYYD6ZNXuzHJONK1jbqalS5xGq1BWntwNhNO8/SLrYyVyszsSeeQTZFm9AcE3csgJWVmfrPRmcjwZ9/1zjCyA2fYvMz5hBNcFxrO0bJAkPKSNS+f+zhPAQI4vH4jf6n5GQMOdzxiWocwWMMBIT5oyTkEQ2d75iSbjUka99eupuhcUSjbUN9CJmZ+oInmJUggxWa6U/OaPh/vSs57zqAM4+X417znxd3Peec+MPM9FmlcXHzNeTOUS5/Jd8gRE9BpbyVBaOYFN+ZocZ4UuQ2vnNkhUNzEKvTrqnnTZGJchgN+5ZRpCpm380kq3btIHByj8gD1fSG5PX3Ajg2XUZKrdeGVtYPWMFb3Qox+pYVgj0OVVDPVOGMrNmBS3y8K2vF/vg/mql8xkQ3/pFrNyiKDE52RiEIEu1ztuEP4gV0V07FyN7mF+in7XEz1ri/62WOGq1O6/WEndAXi4k+m8tJLYIXykk+oylJCqrCFU1qAMNJLh31kD4n1lC3DUuIWo5Xiwhtkz9B9YPXv/jx+vzj/3Z+T/MtO9VVQbxHPh7x0/j984k+SdGdZy1hUcOE6rlJ+/z4XSVAZtPXZlySBeLu0XCv+XJWwkopi63pc+pvI9B0mC6Aq4vtijXYm9fBlL3rGRy6rj0VRyF3sX1F/9mjNEoL2HKskcNsvzbtfPv7CsqY5linEWKBf8tjxE66x5MJ/6sP5lhZJLwryRKwbs7719f3mFkRqovWpFUJxhYeAWcJuEbxLc7O0UjewGmOtiMcBY0zzITY0IwuqAiRKFKtEOV0IW2Axl6KUJldn9jiELV4IJqYg36oYiCtiLAJmRGlqjirdG270alh66dfttDow1/uznOXQ6qd4w7wLky2y6sFlg3SeGFaoHFBG/ubfw1exfod+xW1O74G7oVyGoyILs54G63BtDv1RJAzVsAqFK9o+1aHjUu01G1eEY7a+ndmHLmN5fQqFIwo53FMdqqdJFduNbud13hiqxaEm3WlXbhh6wqDm1WdKhSuGX/BsTUjn+Nwg1VijT0fbWYFX1QbTKCrGzlf9oxzR3Lz4bpn9cwPejW9Es7Rb6WR7LMRGyR8JiYvXlLKf7HlpgNi7dX67OG9c2rVcpOK7+lq/qi5602+zaXbvnMmp4UemFPf7bH/47t8fbfrj3+wo352R7/+7XH278G4XFwCKedFrhh0Do8Pj5qnXaOSevQDTpHncUpBN3ujs7525l/uKmOyqc9ZW+hHzZ+N5ezDiEC2fipU849Th4b86pdyBLPho+T+uLBB6lchMh9sg3C/VQmCyoHSZTGrCSpQvFZRNjDdC6MDl6WTmgoRhtIQywGqZBJrFIR3X9RA+UpLnTUzJokZuCp2VQoDUxjJIOaNgqnwKR2C30R5A9itxGbxEMRFE2+bQweQkBjEl1FJACh8rYqAA9hQdJIblpuE4xtQ5RNRQuGhwmT/Qi4HFIRJExSlkJYkNYiS55KOl68Bq5FFo+CR0xl9Or9bTnLFqZKrW7NWZI81DIUyIJnyqL1jBMmVAZUKLDBW09UyFAhlgpJgy1GC7PxZKnbah/XZqo0ivIzeEvl/aSfy6zBKGoJfCf9Nk490g3gnC0vCVum6gF2Tr0Jx/ohsHnNac5wRrkFxyMWRGkI27lkVrDtQusmbeYJBkkUmQxMeTbTspnOBfBHQ9s2jRsbhK2LMGL59TZz1qKqDNfJU7Ff2wiVna6AK8dzlkThRcIKA9Rg8NbijH8mbG2egwrak+sVfNh7FmFPxWa23POCskzCKCN9jScsu6Nv5hFFJvRmliAJbWK0Y33+ffKkHJ45a0WeXIVqKnW6zc8VzAZVYZpE3TI/natEdQ7h8MwWt4XTHFYeUEq1k4Myp+u47umLjSWIVwknUdEZqV75XJfXyAo54zSSdKPNohIuGsOF+vbAO1uriTEqIfiGR7nj8NSPcEQPoSCM9wOggfptx36QxAqABsPxrY+RTY/VBVcvwqMBiejcfFmTa12LK9ONrDV2y8lKhbiCKx+bxKnoFX2l8NT8nf5XKlIS6c5Aw7DvYmQz56Kaq4A2fiHl/Rezek/zWjUAAA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910D69E2-0E55-4A66-8EA3-B9FD3B31361F}">
      <text>
        <r>
          <rPr>
            <sz val="8"/>
            <color indexed="81"/>
            <rFont val="Tahoma"/>
            <family val="2"/>
          </rPr>
          <t>XTUAAB+LCAAAAAAAAAPtG2lz4jj2r7jyabeqiTDQORi1pwgkvXQHyAT6yKcpYb8QbWyJkeQk7K/fkuRDBpPE3TOzszVdlaqgd+npSXoXAv/8lMTeAwhJOXt34B+2DzxgIY8oW707SNVtyz86+DnA508hxFdEkAQUCOk9JTGT/ScZvTu4U2rdR+jx8fHwsXvIxQp12m0ffZ1czsM7SMhBQUxfJm5RJhVhIRwEeLBez3kqQhhHVsS7g/F8fDgEGo6IIhPCyArE4VkqKQMpz5miioI8CIajyRSeFEaOhAAPhCCb+R2Ako3EoQAPo2QCikREkWaa4KEAomA4mpylNI6CzuHRoX/oY7QFL+k+262wlA5dDs8oR0TBgiYQdNqdo1b7qOWfLNrHfb/Xf3uacxU0+JJINQfxQEMDmCuSrA1nu9fptXudt297GNUSYeSsPcDDVAhgypyGIY8vaUJVM4u0MaoTEuARf2QxJ9FAjhOygmZSlUgBoy0RpcxrwppKtCfeMAb4ggqpvmrds08WclNAbqyNvwYda8evdnwTHHct4CbA5uhNSQLBZOPNQVCQGJVAjNwZUUX1TJtBqChnje3t8GaChhDHjS+B4XwvyPpO6/vt3Auq4sbsF1xASKT6Js3HTNLVnWroRjSjnMVRdvOamf2WxBIwcgUE+JKy+6a+DEiXnISk2yLLkLR6cExay5Ojo1b7+KRzCsvjY79DMLKSA2zlJMDUhEcNT7yPUZU9wFN4nIlreKASosX6EqRc3FGhNiOyabwJs+W/IVTnEVVa2W/k1ofogsbw7SKMZ/g+EVdk9R3c83S52KwbXwDL3JgzyB1NyR/gWRxlm/pN18mKvKSyoevPGAM81Idrft076fqdt8cYmTEe8pQpsQnGLOIMJCUaYUE5zhCORwWiwmi86C6zda7O4JKHJA6uYZ0uYxp6/NarZ7J0WcgLN0POsjRpnq7XXKgs6OzHY22OJZFg1BzMzwdTjCqwgsIoaSi8KwEJTRMvR5UsdiXuyKr4afpxOvsyrRJm2uscYHY7iHQ+F7Tbbb9l/hbtdt/8GaaSAo+oXMckt+UDSKW9gXcNJKb/ITqE9L0RT0AqGva9OYScRUToeBYqLvreAp4UjUGbNJVKbDByJebi7UEYR0Gn+/ak53fbnYKuQFVpF2QVjGYfPgxGZ1ukGpPTfmJUBePRtbdkBZWBuQTWMppqQmNKRIUyM9s5i7RdsuyqW7VYjsQXAn5L9d4Hv6REKBDxBqMSWOLNZv/iO0i7/ZXhTNAVZSTeJSwwJcMIZCjo2sT0YvI3HjC9jd7BhIg33oeUwRtvDus33gjCA0eoy10r05phIehjGhNGWD1vZqwC9V7wdG3X6jCU0BrKctF1HDULNzhzmOpsXmJrOJ5Z1BYNvkiZyZecxaISei4EF1o/FOB/EXn+pK4hIeJeBlOMqgBs4o05qUatNkZbEDyWQxKHaUwU5BOU6cMuCo/lLpmLtQ44ytxTOcZjOYXHzAdPNaYc4rH8tI6IgsgCUIA/wsbX6pr/JpsdSMlDapxAfkuRxVhepx7ptTo958Zs0eBLsuGpmiuiUj3V7+htrEldN09iKomknpVPJC1E3muR94oL/S9lEYh+Lol6C7iXisZWYnYqpmlyxSlTMvB7XYzKIZ6JCITOoOwHfEV0hYPyDx9ho01ZDjK4Ccd+jrDB+UrwKA1VFuqmGLmAHFuY7krwBxqBQAHOjpwJ0OYw2DA7PDnxj7oYucCc4hnDFwzWos5gr2ErLJnJ5rAmgigu8rNaAvDcXj4oUopqQCgjgf1k1xwsckw2rmBdx6YrngeoUlcc3x6E1Xxwr+jtXuZidTYCLWPItngLgmuilxO2snLb7MnwfDwczM8NvgBi277IfI0dVPMcz9m+IecioowoHQPOOBERRg6Pw2/1PyMRYd7HjEtS7woYYSQhzJvwiMQud75iRYQy0c8/PW3vhMYSjY0NzCIWZycn/nEPoxJksUYr88kbjw5nZ33vZSdw9vFq0veWG+fOl7JKsZmvJ0uIc9kvuAIreAIsFakq/IAjPbPAgogVKOP6FnxNQ7vEq5Oj046PUQmy2K0blhFkyuYfs4ykvEdbGKw9AwpwJb2xec0nCSK7KCPt1CtjB2tmrOCtDuVYH8gKgTmhemhmylB21qyiRQH+MjeLvW//6uTzGRB/mReRcoeixORkE5CSrPQ6v3BxL9fEtO3aGLnD/Pr8KCZ+FBP/h8XE25bfebGYuAHyfCUxeG0lsUP4QiUxYCwlcVlG6LJBn2kg4Z23Ab28P6+GuGlcQ9RyPFtD7Jj6DywggsH799fn7weL83/YaX/SZRkkSxA/efM0+cmb8n9iVMdZW3nkMKnbfuouH87WGbD51JUpR/T29uaWi6955lYCiqnLbRkIqu4SUDScrUGYuy3Ltbjbl4H0TSuZvDoucxnHUXBx/cv80wSjcV7DlHWPHmTJd9tNvrOvqaxlinEWLG7Fb3mYMCn3cDadLwbTBUY2A/9M4hSCm/PB9eUNRnake6MVSXWCgUVXICiPXiHe7+wVjdwF2NJgO8g50DzF5NaEYHVBRZRClYCHKtEL7cYy9FyQyuz+yiiFqvEF1YQb9F1BBe3EgG3IgqxQxV+jXe+NSg9dO/2uh0Zb/nZ7nLscVO8Y94BzZXZdWC2wbpLCC9UCiwle3dz4azYv0O/Yrqjd8Ve0K5DTZEBuZ6C92xdAv1c/ADWv/1GldEe7hTxqXKOjauWM9hbS+zHlzK+un1GlWkZ7K2O0U+Yit2qt3e+6qhU5xSTaLizd2g85hRzaLupQpXbL/g2JLR//GrUbqtRp6NvKMSf6oNpkBDnZyv+0ZZo7lh8d0z+3Y9o9qmmYdoqcLY9mmZnYLRcJsfvzmor8D640G1ZwLxZpDYucF0uVvWZ+TV/1WfdbbfdtL91xnDW9KfTMpv5okP8dG+T+365B/syN+dEg/zs1yP1f4SjqnUbhSesEoqjV6x51Wqf+cbsF0Ot2u90OWR7f7umdv575u9vqqHzdU7YWBlHjp3M56whiUI1fO+XcE/7QmFfvQpZ3NnyfNJD3c1DaOcjcG7sgPEgVv6VqyOM0YSVJFYrPYsLuZ0tpdQiyRMJAMdpCWmI5TKXiiU5CTPtFD7SPuDDxMuuR2EGgZ9NBNLR9kQxquyiCAlPGIQxkmL+J3UVsE49kWPT4djF4BCFNSHwVkxCkTtmqADyCW5LGatty22DsGqLsKTowPOJMDWIQakRlyJmiLIWoIK1FljyVbLx4EFyLLN4Fj5lO6PUT3HKWHUyVWt+aM87vaxkKZMEzY/FmIQiTOvcpFNjirScqZOjgSrVz32F0MFtPlo5a/nFtjkrjOD+DX6i6mw5ymTUYTa1A7KXfxel3uiGcs9UlYatUv8HOqbfh2LwFtg867RnOKHfgeMzCOI1gN4vM6rV9aNOjzTzBkMexzb20Z7Mdm9lSgniwtL7t27gg7FyEMcuvt52zFlVluOaPxX7tInReugahHc8Zj6MLzgoD1GDwzuKsfyZsY1+EStpXmzW8O3iSUV+HZbY6CMKyQsIoI32JJyqbo6/mkUUO9GqWkEcuMdqzvvkdf9QOz561IkOuQg2VPt32Fwt2g6owQ6Jv2Txd6hR1CdHozBW3gzMcTh5QSnWTgzKb67Tbp8/2lSBZc0HiojFSvfK5Li+RFXImaazoVpdFJ1w0gQv95UFwttETY1RC8CcR544j0L/DkX2Ewig5DIGG+ucdhyFPNAANR5Mvc4xceqwvuH4UHg9JTJf2u5pc61pcmW5knbEvgqx1iCu48rFNnIpW0WcKj82f6n+mMiWxaQo0DPttjFzmXFRzFdDWj6SC/wJWeLm5XTUAAA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A1D5DE2E-1BD3-4E93-A73A-15981511A0C0}">
      <text>
        <r>
          <rPr>
            <sz val="8"/>
            <color indexed="81"/>
            <rFont val="Tahoma"/>
            <family val="2"/>
          </rPr>
          <t>5zUAAB+LCAAAAAAAAAPtG9tS4zj2V1w8bM1UTZAdboFWeyok0JNtkrAkNM3TlGKLoMWWMpIMZL9+SxfbcuwApndmZ3e6qqvaOjcdHUnnhgJ/fk4T7xFzQRj9uBPs+jsephGLCV1+3MnkXSc43Pk5hGfPEU4uEUcplpgL7zlNqDh5FvHHnXspVycAPD097T7t7TK+BF3fD8DX8cUsuscp2imIyevEHUKFRDTCOyHsr1YzlvEIj2Ij4uPOaDbaHWASDZFEY0TREvPd00wQioU4o5JIgsVOOBiOJ/hZQuBICGGfc7Se3WMsRStxIISDOB1jiWIkUTtN4IBjJPFgOD7NSBKH3d3D3WA3gGADXtJ9MVthKB26HG4ph0jiOUlx2PW7hx3/sBP05v7RSXB8EhzmXAUNvEBCzjB/JJEGzCRKV2HXD3x/z9/r+gfdvSMIGokgcNYewkHGOaZSn4YBSy5ISmQ7i/gQNAkJ4ZA90YShuC9GKVridlIlzzAEGyJKmVeItpVoTrxmDOE54UJ+VbrbLwO5LSC3xsZfw66x41czvg3VbpgvqI/eBKU4HK+9GeYECwhKIATujKCiutWmH0nCaGt7O7xW0AAnSetLoDk/cbS6V/q+n3tOZNKa/ZxxHCEh36X5iAqyvJct3YhiFNMktjevndnvUCIwBK6AEF4Q+tDWl/WOj9EexnHncL8bdPbx8aLT6x7GHT+4C3pRd7/X3VtAYCSH0MhJMZVjFrc88QEEVfYQTvDTlF/hRyJwPF9dYCHm94TL9RCtW2/CdPFPHMmzmEil7Du51SE6Jwl+vwjtGb5NxCVafgP3LFvM16vWF8Awt+YMc0dT8odwmsR2U991nYzICyJaun7LGMKBOlyzq/3eXhDsdSHQYzhgGZV8HY5ozCgWBCmEAeU4TTgaFogKo/aidWbjXJ3BBYtQEl7hVbZISOSxO6+ZydDZkBetB4zaNGmWrVaMSxt0tuOhMscCCazV7M/O+hMIKrCCQiupKbxLjlOSpV6OKlnMStyRUfF68nkyvZlUCa32KgeY3vVjlc+Fvu8HHf1v7vsn+p9mKingkIhVgozRfhgOfhzRRyyk8gjeFUYJ+RdSYeTEG7IUC0miE282O/EuMJL3mHufGIuF9zeUrj5454zJJ4y4sm4m5BoCV3Y+kTkSozjs+b1jv+sHBVmBqZLO0TIcTv8+GlxvUCpETnpNiQxHwytvQQsqDXMJjIUU1ZgkBPEKpTXfGY2VfcKu7x93gm7VcjkSnnP8W6bOQDhmVN4nawhKUInVWz52cOYMVIZTTpaEoqRGVyBK+iEWEScrHdfrE7vYRh6zxNMsQRTRZkZrhQL1ibNsVVtGCW2gbFxQHbvBadKk2ppKXAP9tvVsEMDzjOpcyFknKKFnnDOuVAMh/AWJs2d5hVPEH0Q4gaAKgDqW6NOndfIh2IDAkRigJMoSJHE+QZka1FFwJOpkLtY419i6nnIMR2KCn6x/nShMOYQjcb2KkcSxAYAQfsbrQKmr/9eZal8IFhF9uZ0rqW6kupLbKDSrEW6LkeCo4+93uj3nmmzQwAu0ZpmcSSQzpcvv4mqM9ctN/2GGJVt5VyQh4kctXSBBPDMlEqSY5cHMYgRx4n3OEiJ/8k4RR3TpxYgT70GB7MwzvEIyM/PZ4zXJ0ktGqBThwTEE5QhOeYy5yrLMB7xEqgoC+cdnvFZbUg4sXIfsIEeYAH7JWZxF0obDCQQuIMcWFr7k7JHEmIMQ2qOrg7g+VCYUD3q94HAPAheYU9iw2rQ3BYMxtzPIY2zN0BUWazFlRI4k4/mZLwFwZi4xLtKOSqgoD6L5MksOBznGjitY1y8OiYgYlYRmOK7yVLznFoRR3zlZW0UUCzWBapFgu9sbEFiPcU5ws8W53p3B2WjQn51pfAGEptlhvZcZVLMiz9nIAWM8JhRJQpfeKUNcmaDkcfitZ0Uxot5nyyWId4kpoihF1BuzGCUud75gibjMA+hBLfUo0VCbQC9iftrrBUf7EJQgg9Va6S9vNNydnp54r3uM08+X4xNvsc4v9NqKNSssPo26c7TASS77FSdhBI8xzXgmC3fhSLcWmCO+xHIUgxDO2YpEZomXvcPjbgBBCTLYjbtmCayy+afNW8obtYGBykeAEFaSIJP9XAvM7Z0ZqjBRGTtYPWMFb3Qox+pAVgj0CVVDPZNFmVlt/QtCeDPTi33wf3WyfwuEN7Mi9tYoSkxONsZCoKVa5w3jD2KFdJPPh8Ad5tfne+nxvfT4fy89bjHiL1Ye/eCNpUeN8JXao09phpKfPEzVRno7QxztqLONUXTvrbFa3h9Uldy2rkoaOV6sSmp2/r2KkrD/6dPV2af+/OwHM+cHb4gjnC4w/+DNsvSDN2E/QtDE2VjN5DCh2oTyPh9OVxbYfurKlENyd3d7x/jXPIsrAcXU5Z70OZH3KZYkmq4w1zdblGtx986C1B0rmbwmLn0NR3F4fvWP2fUYglFeF5W1lBrYRNx3E3H7Zy1jmWJsw8Ud/y0PFDr9Hkwns3l/MofAZONfUJLh8Pasf3VxC4EZqV5qRVKTYEzjS8wJi98gPuhuFQ3cBZgyYTPMOdA8x2TGhNjoAoo4BSohD1TiF6hHM/BSmLJ2f2OcAtUIAxoCDvimsAJqvn8TMkdLUPHUoO63QembG6ev+2aw4Wk3x7m/Ac0ucQs4V6buvxqBTZMUXqgRWEzw5obJn7MhAt7dAgG1Dkfjjr+hwwGcbgRwmwR+vUcA/lO9AdC+FwAqZTyoF/Wgdb0OqgU02FpPb8eUM7+5gAaVehlsrY1BrdAFbt3auN9NdStwykmwWVq61R9wSjmwWdaBSvVm/xsgU0D+Oao3UKnUwPsKMif6gMZkBDjZyn+1DZs7lu9d2P/VLmxDE7Zb5H55VLTGpHeMp8js81tq+z+sZm1ZDb5a8LWsmV6tfLbZ+w1N2xfdebWBuLlwxxE3dLvAC5v7vfn+F2++B3+15vsLd+d78/2v1HwPfj2M7/bQwj/udPd6h539YK/bWfjBYedgz+92D/yDg6Oj3pa+/NuZv7llD8p3RmXToh+3fsSXsw5xgmXrd1c595g9tuZVu2Az2pYvpfriYYalcg4i98suCPYzye6IHLAkS2lJUoXC0wTRh+lCTAuHqxIKDYVgA2mIxSATkqVz/Cx1Y0cNlI8415HTdl/MIFSzqXAamY6LhZr+DCeYSu0Q+iLKX+fWEZvEQxEV3cM6Bg5xRFKUXCYowkIlcVUAHOI7lCVy03KbYOgaouxWOjA4ZFT2E8ylG6QK0kZkyVPJ84unyY3I4oXyiKpSQT0GLmepYarU6tacMvbQyFAgC54pTdZzjqhQWVChwAZvM1EhQ8VWopx7jdHBOLmqfZp+1JirkiTJz+ANkfeTfi6zAaOoJeZb6es49WI4wmd0eYHoMlOvwXPqTTjUr5LN01Jzhi1lDQ5HNEqyGNfzSVsJbkPr7q/1BAOWJCYLU57N9IKmC4H5o6ENTEfIBUHnIoxofr3NnI2oKsMVeyr2q45QGeoKc+V4TlkSnzNaGKABA2uLM/4Z0bV5myrIiVyv8MedZxGfqLBMlzthVNZMEFjS13jisu36Zh5R5EBvZolY7BKDLeub3bMn5fDMWSty5SpUU6nTbX47YTaoCtMk6pbNsoXKUBc4Hp664mo4zeHkAaVUNzmoJHvHL3ascLpiHCVFy6V65XNdXiMr5IyzRJKN/o1KuEiKz9WfJcLTtZoYghICr3mSO45Q/SJInAAQxeluhEmkfmiyG7FUAcBgOL6ZQeDSQ3XB1fP0ZIASsjB/Bcq1bsSV6Ybtud1wtFIhruDKxyZxKppQXwh+av+jgS9EZCjRbYKWYd+HwGXORbVXAWz8XCv8N6xOmxTnNQA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207434C-74C9-4A01-867D-CF89A5A51993}">
      <text>
        <r>
          <rPr>
            <sz val="8"/>
            <color indexed="81"/>
            <rFont val="Tahoma"/>
            <family val="2"/>
          </rPr>
          <t>+TUAAB+LCAAAAAAAAAPtG21z2jj6r3jy4eZupkQ2ISmhqncIJF3aANlAm+bTjrAF0cWWWElOwv36G73YlsEkcbt7u3PbmcwEPW969Eh63hDwp6c08R4wF4TR9wfBoX/gYRqxmNDV+4NMLlvBycFPITx/inByhThKscRceE9pQkXvScTvD+6kXPcAeHx8PHw8OmR8Bdq+H4Cv48tZdIdTdFAQk5eJW4QKiWiED0LYX69nLOMRHsVGxPuD0Wx0OMAkGiKJxoiiFeaHZ5kgFAtxTiWRBIuDcDAcT/CThMCREMI+52gzu8NYikbiQAgHcTrGEsVIomaawAHHSOLBcHyWkSQO24cnh8FhAMEWvKT7YrbCUDp0OdxSDpHEc5LisO23T1r+SSvozv3Tnn/cC7o5V0EDL5GQM8wfSKQBM4nSteb0O+2O32kfH3cgqCWCwFl7CAcZ55hKfRoGLLkkKZHNLOJDUCckhEP2SBOG4r4YpWiFm0mVPMMQbIkoZV4j2lSiOfGaMYQXhAv5VeluPxnIbQG5NTb+GraNHb+a8W349sgAbkOoj94EpTgcb7wZ5gQLCEogBO6MoKK61aYfScJoY3s7vFbQACdJ40ugOT9wtL5T+n4795zIpDH7BeM4QkJ+k+YjKsjqTjZ0I4pRTJPY3rxmZl+iRGAIXAEhvCT0vqkvw+1FEMd+t3UUd7qtThy0W91O0G2dxt3OSXR03Mb67mrJITRyUkzlmMUNT3wAQZU9hBP8OOXX+IEIHM/Xl1iI+R3hcjNEm8abMF38G0fyPCZSKfuN3OoQXZAEf7sI7Rm+T8QVWn0H9yxbzDfrxhfAMDfmDHNHU/KHcJrEdlO/6ToZkZdENHT9ljGEA3W4Zted7pF/2j2FQI/hgGVU8k04ojGjWBCkEAaU4zThaFggKozai+4yG+fqDC5ZhJLwGq+zRUIijy29eiZDZ0NetBkwatOkWbZeMy5t0NmPh8ocCySwVrM/O+9PIKjACgqtpKbwrjhOSZZ6OapkMStxR0bFz5NPk+nNpEpotVc5wHTZj1U+F/q+H7T039z3e/pPM5UUcEjEOkG5LR+wkMobeNcYJeQ/SIWQnjdkKRaSRD1vhiNGY8RVPIsk4z3vEiN5h7n3gbFYeP9A6fqdd8GYfMSIKztnQm4gcGfJpzSHYxSH7aPjbifo+O2CrkBVaedoFQ6nHz/2h4MtUoXJaT9TIsPR8Npb0IJKw1wCYy1FNSYJQbxCaU15TmNlK5txHVWtmCPhBce/Zeo8hL9kiEvMkw0EJbDE6wPwS+AgzZGoDKecrAhFyS5hgSkZhlhEnKx1nC8mf+NhqrbWOxgj/sb7mFH8xpvh9RtviKMDR6jLXSvTmGHOyWOWIIpoPa81VoH6wFm2Nmt1GEpoDWW56DqOmoVrnD5MdTYvsTUczyxqiwZeZFTnUM5iQQk955xxpR8I4c9InD/Ja5wifi/CCQRVANQxSJ9UrZYPwRYEjsQAJVGWIInzCcqUYhcFR2KXzMUapxxbl1WO4UhM8KP1yxOFKYdwJD6vYyRxbAAghJ/wJlDq6v86w+0LwSKiHUN+S4HBGF6nRum02h3nxmzRwEu0YZmcSSQzNdUf7IGMmd1wgBIikCCemRMJUkxzr6a5l4yrfxmNMe9ZQZx4n7KEyDfeGeKIrrwYceLdK5AXI6ruGZKZmc2eokmWXjFCpQgDvwNBOYRTHmOusjDzAV4hVSWB/MMnvFGmLwcWrkN6kCNMgL/iLM4iacPlBAIXkGMLU19x9kBizEEI7RHVQV4fHhOqB91ucHIEgQvMKZ7ZqILBWNsZ7DV6hcWaTFmRI8l4frZLAJyZy4qLtKQaQMrIYT6ZNYfzHGPHFazrCFXV9ICr1BVHuQdhNO/fS7Lcy1yszkSsRYLtFm9BYE20c8KcLdn1ngzOR4P+7FzjCyA0LRDrm8ygmit5zvYNGOMxoUiqmHHGEI8hcHgcfqP/GVIH/ZPlEsS7whRRlCLqjVmMEpc7X7FEXOpoGZye+juhtERDbQO9iPlZtxu87UBQggxWa6U/eaPh4fSs573sNM4+XY173mKT3+KNFWtWWHy0sQEtcJLLfsFNGMFjTDOeycJHONKtBeaIr7DUrnLO1iQyS7zqnpy2AwhKkMFu3TBLYJXNP9oMprxHWxioPAMIYSUdMnnQZ4G5vShDFQQqYwerZ6zgjQ7lWB3ICoE+oWqoZ7IoM6utikEIb2Z6sff+r05NYIHwZlZE1h2KEpOTjbEQaKXWecP4vVgj3frzIXCH+fX5UZD8KEj+TwqS41bQfrEgucXo+Wqk/9pqZIfwhWqkT2mGkrIUUaWHOucYRXfeBqvl/e/qkNvGdUgtx7N1yI6p/8AiJOx/+HB9/qE/P/+nmfadKu1wusD8nTfL0nfehP0LgjrO2uolhwnVTpR3+XC6tsDmU1emHJLl8nbJ+Nc8mysBxdTltvQ5kXcpliSarjHX912Ua3G3z4LUTSuZvDoufRlHcXhx/cvs8xiCUV4HlbWTGtiE3HcTcvv1l7FMMbYBZMl/y0OHTsMH08ls3p/MITBZ+ReUZDi8Pe9fX95CYEaq51qRVCcY0/gKc8LiV4gP2ntFA3cBplzYDnwONE87mTEhNrqAInKBShAElYgGduMbeC5wWbu/MnKBaswBNSEIfFegATsxYBsyRytQ8ddg13uD0kPXTr/rocGWv90e5y4H1DvGPeBcmV0XVgusm6TwQrXAYoJXN0j+mg0Q8Du2PGp3/BUtD+A0JYDbLfB3ewXg9+oRgOY9AVAp58FucQ8a1+2gWk2DvcX1fkw586tralCpoMHeahnslL7ArWRr97uukgVOgQm2i023HgROcQe2Cz1QqefsvwEyJeVfo54DldoNfFuJ5kQfUJuMACdb+VPbrrlj+dF1/Wt3XY9Oapqu7SLHy6OfNStdMp4is5+vqer/hGq1YRX4YqHXsFB6sdzZa/rX9GufdeHVNuL20h3nW9PzAs9s9I/G+9+x8R787Rrvz9yYH433v1PjPfgVtU+XwdLHrXbnJGh1/Lft1gJHfqt72n0bHR0tjoPjxZ6e/OuZv7tdD8qXR2V7oh83ftaXsw5xgmXjl1g595g9NOZVu2Bz14Zvp/rifoalcg4i98YuCPYzyZZEDliSpbQkqULhWYLo/XQhjA6hTSQ0FIItpCEWg0xIls7xk9QtHDVQPuJCx0vbZzGDUM2mgmhkeisWajoxnGAqtUPoiyh/r7uL2CYeiqjoE+5i4BBHJEXJVYIiLFQaVwXAIV6iLJHbltsGQ9cQZV/SgcEho7KfYC6HRESMSkIzHBektciSp5LRF4+Va5HFm+URVUWBeh5czrKDqVKrW3PG2H0tQ4EseKY02cw5okLlPoUCW7z1RIUMFVyJcu47jA5m6+nUSSt4W5ujkiTJz+ANkXeTfi6zBqOoJeZ76Xdx6g1xhM/p6hLRVabeh+fU23Co3ymbx6bmDFvKHTgc0SjJYrybRdqabx9a93mtJxiwJDG5l/JspuszXQjMHwxtYHo/Lgg6F2FE8+tt5qxFVRmu2WOxX7sIlZeuMVeO54wl8QWjhQFqMHBnccY/I7oxr1UF6cnNGr8/eBJxT4VlujoIo7JqgsCSvsQTlw3WV/OIIgd6NUvEYpcY7Fnf7I49KodnzlqRIVehmkqdbvNrCrNBVZgmUbdsli1UirrA8fDMFbeD0xxOHlBKdZODMptr+/7ps70pnK4ZR0nRXKle+VyXl8gKOeMskWSrU6MSLpLiC/UFRHi2URNDUELgZ57kjiNUvxESPQCiOD2MMInUT08OI5YqABgMxzczCFx6qC64erCeDFBCFub7nlzrWlyZbtju2g1HaxXiCq58bBKnot30heDH5j8j+EJEhhLdKGgY9n0IXOZcVHMVwNYPuML/AqQkBDj5NQA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<sst xmlns="http://schemas.openxmlformats.org/spreadsheetml/2006/main" count="90" uniqueCount="35">
  <si>
    <t>Investment Realization: Foreign: Secondary Sector: Leather Goods &amp; Footwear Industy</t>
  </si>
  <si>
    <t>Region</t>
  </si>
  <si>
    <t>Indonesia</t>
  </si>
  <si>
    <t>Unit</t>
  </si>
  <si>
    <t>USD mn</t>
  </si>
  <si>
    <t>Source</t>
  </si>
  <si>
    <t>Indonesia Investment Coordinating Board</t>
  </si>
  <si>
    <t>Series ID</t>
  </si>
  <si>
    <t>235844102 (DOJKADC)</t>
  </si>
  <si>
    <t>Investment Realization: Foreign: Secondary Sector: Textile Industry</t>
  </si>
  <si>
    <t>235844002 (DOJKADB)</t>
  </si>
  <si>
    <t>Investment Realization: Domestic: Secondary Sector: Textile Industry</t>
  </si>
  <si>
    <t>IDR bn</t>
  </si>
  <si>
    <t>235841302 (DOJJADB)</t>
  </si>
  <si>
    <t>(DC)Investment Realization: Domestic: SS: Leather Goods &amp; Footwear Industy</t>
  </si>
  <si>
    <t>80890201 (DOJICU)</t>
  </si>
  <si>
    <t>Year</t>
  </si>
  <si>
    <t>Investment Realization: Domestic: Secondary Sector: Leather Goods &amp; Footwear Industy</t>
  </si>
  <si>
    <t>235841402 (DOJJADC)</t>
  </si>
  <si>
    <t>Domestik</t>
  </si>
  <si>
    <t>Asing</t>
  </si>
  <si>
    <t>year</t>
  </si>
  <si>
    <t>usd_idr_avg</t>
  </si>
  <si>
    <t>tpt_asing_usd_mn</t>
  </si>
  <si>
    <t>tpt_domestik_idr_bn</t>
  </si>
  <si>
    <t>tpt_domestik_usd_mn</t>
  </si>
  <si>
    <t>tpt_total_usd_mn</t>
  </si>
  <si>
    <t>tpt_pct_domestik</t>
  </si>
  <si>
    <t>tpt_pct_asing</t>
  </si>
  <si>
    <t>kpk_asing_usd_mn</t>
  </si>
  <si>
    <t>kpk_domestik_idr_bn</t>
  </si>
  <si>
    <t>kpk_domestik_usd_mn</t>
  </si>
  <si>
    <t>kpk_total_usd_mn</t>
  </si>
  <si>
    <t>kpk_pct_domestik</t>
  </si>
  <si>
    <t>kpk_pct_asing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</si>
</sst>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"/>
    <numFmt numFmtId="165" formatCode="#,##0.0"/>
  </numFmts>
  <fonts count="13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008000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rgb="FF008000"/>
      <name val="Calibri"/>
      <family val="2"/>
      <scheme val="minor"/>
    </font>
    <font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2" fontId="0" fillId="0" borderId="0" xfId="0" applyNumberFormat="1"/>
    <xf numFmtId="0" fontId="5" fillId="0" borderId="0" xfId="0" applyFont="1"/>
    <xf numFmtId="0" fontId="5" fillId="0" borderId="0" xfId="0" applyFont="1" applyAlignment="1">
      <alignment horizontal="left"/>
    </xf>
    <xf numFmtId="2" fontId="5" fillId="0" borderId="0" xfId="0" applyNumberFormat="1" applyFont="1"/>
    <xf numFmtId="0" fontId="4" fillId="0" borderId="0" xfId="0" applyFont="1"/>
    <xf numFmtId="0" fontId="4" fillId="2" borderId="0" xfId="0" applyFont="1" applyFill="1"/>
    <xf numFmtId="165" fontId="7" fillId="0" borderId="0" xfId="0" applyNumberFormat="1" applyFont="1"/>
    <xf numFmtId="165" fontId="0" fillId="0" borderId="0" xfId="0" applyNumberFormat="1"/>
    <xf numFmtId="165" fontId="4" fillId="0" borderId="0" xfId="0" applyNumberFormat="1" applyFont="1"/>
    <xf numFmtId="9" fontId="0" fillId="0" borderId="0" xfId="0" applyNumberFormat="1"/>
    <xf numFmtId="165" fontId="9" fillId="0" borderId="0" xfId="0" applyNumberFormat="1" applyFont="1"/>
    <xf numFmtId="9" fontId="7" fillId="0" borderId="0" xfId="0" applyNumberFormat="1" applyFont="1"/>
    <xf numFmtId="9" fontId="0" fillId="3" borderId="0" xfId="0" applyNumberFormat="1" applyFill="1"/>
    <xf numFmtId="1" fontId="7" fillId="0" borderId="0" xfId="0" applyNumberFormat="1" applyFont="1"/>
    <xf numFmtId="3" fontId="6" fillId="0" borderId="0" xfId="0" applyNumberFormat="1" applyFont="1"/>
    <xf numFmtId="165" fontId="9" fillId="4" borderId="0" xfId="0" applyNumberFormat="1" applyFont="1" applyFill="1"/>
    <xf numFmtId="165" fontId="11" fillId="0" borderId="0" xfId="0" applyNumberFormat="1" applyFont="1"/>
    <xf numFmtId="165" fontId="12" fillId="0" borderId="0" xfId="0" applyNumberFormat="1" applyFont="1"/>
    <xf numFmtId="9" fontId="11" fillId="0" borderId="0" xfId="0" applyNumberFormat="1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096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D86BF85-29B3-4F13-B69A-F7851E8F90FF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7f941878-aa54-4b27-8fa7-2b92bb001c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4BE77-F492-4C85-98E5-EF9279164872}">
  <dimension ref="A1:V17"/>
  <sheetViews>
    <sheetView tabSelected="1" zoomScale="69" zoomScaleNormal="100" workbookViewId="0">
      <selection activeCell="B21" sqref="B21"/>
    </sheetView>
  </sheetViews>
  <sheetFormatPr defaultRowHeight="14.5" x14ac:dyDescent="0.35"/>
  <cols>
    <col min="1" max="1" width="10.36328125" customWidth="1"/>
    <col min="2" max="2" width="11.26953125" bestFit="1" customWidth="1"/>
    <col min="3" max="3" width="17.36328125" bestFit="1" customWidth="1"/>
    <col min="4" max="4" width="19.81640625" bestFit="1" customWidth="1"/>
    <col min="5" max="5" width="20.90625" bestFit="1" customWidth="1"/>
    <col min="6" max="6" width="17.1796875" bestFit="1" customWidth="1"/>
    <col min="7" max="7" width="14.36328125" bestFit="1" customWidth="1"/>
    <col min="8" max="8" width="10.7265625" bestFit="1" customWidth="1"/>
    <col min="9" max="9" width="17.54296875" bestFit="1" customWidth="1"/>
    <col min="10" max="10" width="31.453125" customWidth="1"/>
    <col min="11" max="11" width="34.1796875" customWidth="1"/>
    <col min="12" max="12" width="17.36328125" bestFit="1" customWidth="1"/>
    <col min="13" max="13" width="14.54296875" bestFit="1" customWidth="1"/>
    <col min="14" max="14" width="10.90625" bestFit="1" customWidth="1"/>
  </cols>
  <sheetData>
    <row r="1" spans="1:22" x14ac:dyDescent="0.35">
      <c r="A1" s="9" t="s">
        <v>21</v>
      </c>
      <c r="B1" s="9" t="s">
        <v>22</v>
      </c>
      <c r="C1" s="9" t="s">
        <v>23</v>
      </c>
      <c r="D1" s="9" t="s">
        <v>24</v>
      </c>
      <c r="E1" s="9" t="s">
        <v>25</v>
      </c>
      <c r="F1" s="9" t="s">
        <v>26</v>
      </c>
      <c r="G1" s="9" t="s">
        <v>27</v>
      </c>
      <c r="H1" s="9" t="s">
        <v>28</v>
      </c>
      <c r="I1" s="9" t="s">
        <v>29</v>
      </c>
      <c r="J1" s="10" t="s">
        <v>30</v>
      </c>
      <c r="K1" s="9" t="s">
        <v>31</v>
      </c>
      <c r="L1" s="9" t="s">
        <v>32</v>
      </c>
      <c r="M1" s="9" t="s">
        <v>33</v>
      </c>
      <c r="N1" s="9" t="s">
        <v>34</v>
      </c>
      <c r="P1" s="9" t="s">
        <v>16</v>
      </c>
      <c r="Q1" s="9" t="s">
        <v>19</v>
      </c>
      <c r="R1" s="9" t="s">
        <v>20</v>
      </c>
      <c r="T1" s="9" t="s">
        <v>16</v>
      </c>
      <c r="U1" s="9" t="s">
        <v>19</v>
      </c>
      <c r="V1" s="9" t="s">
        <v>20</v>
      </c>
    </row>
    <row r="2" spans="1:22" x14ac:dyDescent="0.35">
      <c r="A2" s="18">
        <v>2010</v>
      </c>
      <c r="B2" s="19">
        <v>9086.1227994227993</v>
      </c>
      <c r="C2" s="11" cm="1">
        <f t="array" ref="C2">INDEX('My Series (2)'!$C:$C,9+($A2-2009)*4)</f>
        <v>154.79509999999999</v>
      </c>
      <c r="D2" s="15" cm="1">
        <f t="array" ref="D2">INDEX('My Series (3)'!$C:$C,9+($A2-2009)*4)</f>
        <v>396.28</v>
      </c>
      <c r="E2" s="12">
        <f>D2*1000/$B2</f>
        <v>43.613762299709826</v>
      </c>
      <c r="F2" s="13">
        <f>C2+E2</f>
        <v>198.40886229970982</v>
      </c>
      <c r="G2" s="16">
        <f t="shared" ref="G2:G16" si="0">IFERROR(E2/F2,"")</f>
        <v>0.2198176119463269</v>
      </c>
      <c r="H2" s="17">
        <f t="shared" ref="H2:H16" si="1">IFERROR(C2/F2,"")</f>
        <v>0.78018238805367301</v>
      </c>
      <c r="I2" s="11" cm="1">
        <f t="array" ref="I2">INDEX('My Series'!$C:$C,9+($A2-2009)*4)</f>
        <v>130.38149999999999</v>
      </c>
      <c r="J2" s="20" cm="1">
        <f t="array" ref="J2">INDEX('My Series (5)'!$C:$C,9+($A2-2009)*4)</f>
        <v>12.5222</v>
      </c>
      <c r="K2" s="12">
        <f t="shared" ref="K2:K16" si="2">IF($J2="","",$J2*1000/$B2)</f>
        <v>1.3781675943005611</v>
      </c>
      <c r="L2" s="13">
        <f t="shared" ref="L2:L16" si="3">I2+N(K2)</f>
        <v>131.75966759430054</v>
      </c>
      <c r="M2" s="14">
        <f t="shared" ref="M2:M16" si="4">IFERROR(N(K2)/L2,"")</f>
        <v>1.0459707583234491E-2</v>
      </c>
      <c r="N2" s="14">
        <f t="shared" ref="N2:N16" si="5">IFERROR(I2/L2,"")</f>
        <v>0.98954029241676555</v>
      </c>
      <c r="P2" s="24" t="str">
        <f>TEXT(A2,"0")</f>
        <v>2010</v>
      </c>
      <c r="Q2" s="12">
        <f>E2</f>
        <v>43.613762299709826</v>
      </c>
      <c r="R2" s="12">
        <f>C2</f>
        <v>154.79509999999999</v>
      </c>
      <c r="T2" s="24" t="str">
        <f>TEXT(A2,"0")</f>
        <v>2010</v>
      </c>
      <c r="U2" s="12">
        <f>K2</f>
        <v>1.3781675943005611</v>
      </c>
      <c r="V2" s="12">
        <f>I2</f>
        <v>130.38149999999999</v>
      </c>
    </row>
    <row r="3" spans="1:22" x14ac:dyDescent="0.35">
      <c r="A3" s="18">
        <v>2011</v>
      </c>
      <c r="B3" s="19">
        <v>8768.463272476316</v>
      </c>
      <c r="C3" s="11" cm="1">
        <f t="array" ref="C3">INDEX('My Series (2)'!$C:$C,9+($A3-2009)*4)</f>
        <v>497.26060000000001</v>
      </c>
      <c r="D3" s="15" cm="1">
        <f t="array" ref="D3">INDEX('My Series (3)'!$C:$C,9+($A3-2009)*4)</f>
        <v>999.19119999999998</v>
      </c>
      <c r="E3" s="12">
        <f t="shared" ref="E3:E16" si="6">D3*1000/$B3</f>
        <v>113.95282946972038</v>
      </c>
      <c r="F3" s="13">
        <f t="shared" ref="F3:F16" si="7">C3+E3</f>
        <v>611.21342946972038</v>
      </c>
      <c r="G3" s="16">
        <f t="shared" si="0"/>
        <v>0.18643705124179644</v>
      </c>
      <c r="H3" s="17">
        <f t="shared" si="1"/>
        <v>0.81356294875820356</v>
      </c>
      <c r="I3" s="11" cm="1">
        <f t="array" ref="I3">INDEX('My Series'!$C:$C,9+($A3-2009)*4)</f>
        <v>255.00790000000001</v>
      </c>
      <c r="J3" s="20" cm="1">
        <f t="array" ref="J3">INDEX('My Series (5)'!$C:$C,9+($A3-2009)*4)</f>
        <v>13.5091</v>
      </c>
      <c r="K3" s="12">
        <f t="shared" si="2"/>
        <v>1.5406462432709573</v>
      </c>
      <c r="L3" s="13">
        <f t="shared" si="3"/>
        <v>256.54854624327095</v>
      </c>
      <c r="M3" s="14">
        <f t="shared" si="4"/>
        <v>6.0052815181811511E-3</v>
      </c>
      <c r="N3" s="14">
        <f t="shared" si="5"/>
        <v>0.99399471848181886</v>
      </c>
      <c r="P3" s="24" t="str">
        <f t="shared" ref="P3:P17" si="8">TEXT(A3,"0")</f>
        <v>2011</v>
      </c>
      <c r="Q3" s="12">
        <f t="shared" ref="Q3:Q17" si="9">E3</f>
        <v>113.95282946972038</v>
      </c>
      <c r="R3" s="12">
        <f t="shared" ref="R3:R17" si="10">C3</f>
        <v>497.26060000000001</v>
      </c>
      <c r="T3" s="24" t="str">
        <f t="shared" ref="T3:T17" si="11">TEXT(A3,"0")</f>
        <v>2011</v>
      </c>
      <c r="U3" s="12">
        <f t="shared" ref="U3:U17" si="12">K3</f>
        <v>1.5406462432709573</v>
      </c>
      <c r="V3" s="12">
        <f t="shared" ref="V3:V17" si="13">I3</f>
        <v>255.00790000000001</v>
      </c>
    </row>
    <row r="4" spans="1:22" x14ac:dyDescent="0.35">
      <c r="A4" s="18">
        <v>2012</v>
      </c>
      <c r="B4" s="19">
        <v>9380.0481664470808</v>
      </c>
      <c r="C4" s="11" cm="1">
        <f t="array" ref="C4">INDEX('My Series (2)'!$C:$C,9+($A4-2009)*4)</f>
        <v>473.12</v>
      </c>
      <c r="D4" s="15" cm="1">
        <f t="array" ref="D4">INDEX('My Series (3)'!$C:$C,9+($A4-2009)*4)</f>
        <v>4450.9110000000001</v>
      </c>
      <c r="E4" s="12">
        <f t="shared" si="6"/>
        <v>474.50833098289831</v>
      </c>
      <c r="F4" s="13">
        <f t="shared" si="7"/>
        <v>947.62833098289832</v>
      </c>
      <c r="G4" s="16">
        <f t="shared" si="0"/>
        <v>0.50073252927202916</v>
      </c>
      <c r="H4" s="17">
        <f t="shared" si="1"/>
        <v>0.49926747072797079</v>
      </c>
      <c r="I4" s="11" cm="1">
        <f t="array" ref="I4">INDEX('My Series'!$C:$C,9+($A4-2009)*4)</f>
        <v>158.88470000000001</v>
      </c>
      <c r="J4" s="20" cm="1">
        <f t="array" ref="J4">INDEX('My Series (5)'!$C:$C,9+($A4-2009)*4)</f>
        <v>76.6785</v>
      </c>
      <c r="K4" s="12">
        <f t="shared" si="2"/>
        <v>8.1746381936803871</v>
      </c>
      <c r="L4" s="13">
        <f t="shared" si="3"/>
        <v>167.05933819368039</v>
      </c>
      <c r="M4" s="14">
        <f t="shared" si="4"/>
        <v>4.8932542664589712E-2</v>
      </c>
      <c r="N4" s="14">
        <f t="shared" si="5"/>
        <v>0.95106745733541032</v>
      </c>
      <c r="P4" s="24" t="str">
        <f t="shared" si="8"/>
        <v>2012</v>
      </c>
      <c r="Q4" s="12">
        <f t="shared" si="9"/>
        <v>474.50833098289831</v>
      </c>
      <c r="R4" s="12">
        <f t="shared" si="10"/>
        <v>473.12</v>
      </c>
      <c r="T4" s="24" t="str">
        <f t="shared" si="11"/>
        <v>2012</v>
      </c>
      <c r="U4" s="12">
        <f t="shared" si="12"/>
        <v>8.1746381936803871</v>
      </c>
      <c r="V4" s="12">
        <f t="shared" si="13"/>
        <v>158.88470000000001</v>
      </c>
    </row>
    <row r="5" spans="1:22" x14ac:dyDescent="0.35">
      <c r="A5" s="18">
        <v>2013</v>
      </c>
      <c r="B5" s="19">
        <v>10447.707978072651</v>
      </c>
      <c r="C5" s="11" cm="1">
        <f t="array" ref="C5">INDEX('My Series (2)'!$C:$C,9+($A5-2009)*4)</f>
        <v>750.7038</v>
      </c>
      <c r="D5" s="15" cm="1">
        <f t="array" ref="D5">INDEX('My Series (3)'!$C:$C,9+($A5-2009)*4)</f>
        <v>2445.9245999999998</v>
      </c>
      <c r="E5" s="12">
        <f t="shared" si="6"/>
        <v>234.11111845138052</v>
      </c>
      <c r="F5" s="13">
        <f t="shared" si="7"/>
        <v>984.81491845138055</v>
      </c>
      <c r="G5" s="16">
        <f t="shared" si="0"/>
        <v>0.2377209301616996</v>
      </c>
      <c r="H5" s="17">
        <f t="shared" si="1"/>
        <v>0.7622790698383004</v>
      </c>
      <c r="I5" s="11" cm="1">
        <f t="array" ref="I5">INDEX('My Series'!$C:$C,9+($A5-2009)*4)</f>
        <v>96.197199999999995</v>
      </c>
      <c r="J5" s="20" cm="1">
        <f t="array" ref="J5">INDEX('My Series (5)'!$C:$C,9+($A5-2009)*4)</f>
        <v>80.096699999999998</v>
      </c>
      <c r="K5" s="12">
        <f t="shared" si="2"/>
        <v>7.66643747778026</v>
      </c>
      <c r="L5" s="13">
        <f t="shared" si="3"/>
        <v>103.86363747778026</v>
      </c>
      <c r="M5" s="14">
        <f t="shared" si="4"/>
        <v>7.3812526346579713E-2</v>
      </c>
      <c r="N5" s="14">
        <f t="shared" si="5"/>
        <v>0.92618747365342025</v>
      </c>
      <c r="P5" s="24" t="str">
        <f t="shared" si="8"/>
        <v>2013</v>
      </c>
      <c r="Q5" s="12">
        <f t="shared" si="9"/>
        <v>234.11111845138052</v>
      </c>
      <c r="R5" s="12">
        <f t="shared" si="10"/>
        <v>750.7038</v>
      </c>
      <c r="T5" s="24" t="str">
        <f t="shared" si="11"/>
        <v>2013</v>
      </c>
      <c r="U5" s="12">
        <f t="shared" si="12"/>
        <v>7.66643747778026</v>
      </c>
      <c r="V5" s="12">
        <f t="shared" si="13"/>
        <v>96.197199999999995</v>
      </c>
    </row>
    <row r="6" spans="1:22" x14ac:dyDescent="0.35">
      <c r="A6" s="18">
        <v>2014</v>
      </c>
      <c r="B6" s="19">
        <v>11864.080001882176</v>
      </c>
      <c r="C6" s="11" cm="1">
        <f t="array" ref="C6">INDEX('My Series (2)'!$C:$C,9+($A6-2009)*4)</f>
        <v>422.48910000000001</v>
      </c>
      <c r="D6" s="15" cm="1">
        <f t="array" ref="D6">INDEX('My Series (3)'!$C:$C,9+($A6-2009)*4)</f>
        <v>1451.4555</v>
      </c>
      <c r="E6" s="12">
        <f t="shared" si="6"/>
        <v>122.34033315433932</v>
      </c>
      <c r="F6" s="13">
        <f t="shared" si="7"/>
        <v>544.82943315433931</v>
      </c>
      <c r="G6" s="16">
        <f t="shared" si="0"/>
        <v>0.22454795154152904</v>
      </c>
      <c r="H6" s="17">
        <f t="shared" si="1"/>
        <v>0.77545204845847093</v>
      </c>
      <c r="I6" s="11" cm="1">
        <f t="array" ref="I6">INDEX('My Series'!$C:$C,9+($A6-2009)*4)</f>
        <v>210.66130000000001</v>
      </c>
      <c r="J6" s="20" cm="1">
        <f t="array" ref="J6">INDEX('My Series (5)'!$C:$C,9+($A6-2009)*4)</f>
        <v>103.0797</v>
      </c>
      <c r="K6" s="12">
        <f t="shared" si="2"/>
        <v>8.6883854444379107</v>
      </c>
      <c r="L6" s="13">
        <f t="shared" si="3"/>
        <v>219.34968544443791</v>
      </c>
      <c r="M6" s="14">
        <f t="shared" si="4"/>
        <v>3.9609746541618411E-2</v>
      </c>
      <c r="N6" s="14">
        <f t="shared" si="5"/>
        <v>0.96039025345838169</v>
      </c>
      <c r="P6" s="24" t="str">
        <f t="shared" si="8"/>
        <v>2014</v>
      </c>
      <c r="Q6" s="12">
        <f t="shared" si="9"/>
        <v>122.34033315433932</v>
      </c>
      <c r="R6" s="12">
        <f t="shared" si="10"/>
        <v>422.48910000000001</v>
      </c>
      <c r="T6" s="24" t="str">
        <f t="shared" si="11"/>
        <v>2014</v>
      </c>
      <c r="U6" s="12">
        <f t="shared" si="12"/>
        <v>8.6883854444379107</v>
      </c>
      <c r="V6" s="12">
        <f t="shared" si="13"/>
        <v>210.66130000000001</v>
      </c>
    </row>
    <row r="7" spans="1:22" x14ac:dyDescent="0.35">
      <c r="A7" s="18">
        <v>2015</v>
      </c>
      <c r="B7" s="19">
        <v>13388.25865408746</v>
      </c>
      <c r="C7" s="11" cm="1">
        <f t="array" ref="C7">INDEX('My Series (2)'!$C:$C,9+($A7-2009)*4)</f>
        <v>433.4255</v>
      </c>
      <c r="D7" s="15" cm="1">
        <f t="array" ref="D7">INDEX('My Series (3)'!$C:$C,9+($A7-2009)*4)</f>
        <v>2724.5097999999998</v>
      </c>
      <c r="E7" s="12">
        <f t="shared" si="6"/>
        <v>203.49993754924969</v>
      </c>
      <c r="F7" s="13">
        <f t="shared" si="7"/>
        <v>636.92543754924964</v>
      </c>
      <c r="G7" s="16">
        <f t="shared" si="0"/>
        <v>0.31950354869209358</v>
      </c>
      <c r="H7" s="17">
        <f t="shared" si="1"/>
        <v>0.68049645130790648</v>
      </c>
      <c r="I7" s="11" cm="1">
        <f t="array" ref="I7">INDEX('My Series'!$C:$C,9+($A7-2009)*4)</f>
        <v>161.5763</v>
      </c>
      <c r="J7" s="20" cm="1">
        <f t="array" ref="J7">INDEX('My Series (5)'!$C:$C,9+($A7-2009)*4)</f>
        <v>5.4039999999999999</v>
      </c>
      <c r="K7" s="12">
        <f t="shared" si="2"/>
        <v>0.40363725706405806</v>
      </c>
      <c r="L7" s="13">
        <f t="shared" si="3"/>
        <v>161.97993725706405</v>
      </c>
      <c r="M7" s="14">
        <f t="shared" si="4"/>
        <v>2.4918966132421757E-3</v>
      </c>
      <c r="N7" s="14">
        <f t="shared" si="5"/>
        <v>0.99750810338675788</v>
      </c>
      <c r="P7" s="24" t="str">
        <f t="shared" si="8"/>
        <v>2015</v>
      </c>
      <c r="Q7" s="12">
        <f t="shared" si="9"/>
        <v>203.49993754924969</v>
      </c>
      <c r="R7" s="12">
        <f t="shared" si="10"/>
        <v>433.4255</v>
      </c>
      <c r="T7" s="24" t="str">
        <f t="shared" si="11"/>
        <v>2015</v>
      </c>
      <c r="U7" s="12">
        <f t="shared" si="12"/>
        <v>0.40363725706405806</v>
      </c>
      <c r="V7" s="12">
        <f t="shared" si="13"/>
        <v>161.5763</v>
      </c>
    </row>
    <row r="8" spans="1:22" x14ac:dyDescent="0.35">
      <c r="A8" s="18">
        <v>2016</v>
      </c>
      <c r="B8" s="19">
        <v>13304.88255223038</v>
      </c>
      <c r="C8" s="11" cm="1">
        <f t="array" ref="C8">INDEX('My Series (2)'!$C:$C,9+($A8-2009)*4)</f>
        <v>321.30680000000001</v>
      </c>
      <c r="D8" s="15" cm="1">
        <f t="array" ref="D8">INDEX('My Series (3)'!$C:$C,9+($A8-2009)*4)</f>
        <v>3209.8006</v>
      </c>
      <c r="E8" s="12">
        <f t="shared" si="6"/>
        <v>241.24982594919047</v>
      </c>
      <c r="F8" s="13">
        <f t="shared" si="7"/>
        <v>562.55662594919045</v>
      </c>
      <c r="G8" s="16">
        <f t="shared" si="0"/>
        <v>0.42884540830380319</v>
      </c>
      <c r="H8" s="17">
        <f t="shared" si="1"/>
        <v>0.57115459169619687</v>
      </c>
      <c r="I8" s="11" cm="1">
        <f t="array" ref="I8">INDEX('My Series'!$C:$C,9+($A8-2009)*4)</f>
        <v>144.3724</v>
      </c>
      <c r="J8" s="20" cm="1">
        <f t="array" ref="J8">INDEX('My Series (5)'!$C:$C,9+($A8-2009)*4)</f>
        <v>69.111699999999999</v>
      </c>
      <c r="K8" s="12">
        <f t="shared" si="2"/>
        <v>5.1944614865025152</v>
      </c>
      <c r="L8" s="13">
        <f t="shared" si="3"/>
        <v>149.56686148650252</v>
      </c>
      <c r="M8" s="14">
        <f t="shared" si="4"/>
        <v>3.4730029331873649E-2</v>
      </c>
      <c r="N8" s="14">
        <f t="shared" si="5"/>
        <v>0.96526997066812636</v>
      </c>
      <c r="P8" s="24" t="str">
        <f t="shared" si="8"/>
        <v>2016</v>
      </c>
      <c r="Q8" s="12">
        <f t="shared" si="9"/>
        <v>241.24982594919047</v>
      </c>
      <c r="R8" s="12">
        <f t="shared" si="10"/>
        <v>321.30680000000001</v>
      </c>
      <c r="T8" s="24" t="str">
        <f t="shared" si="11"/>
        <v>2016</v>
      </c>
      <c r="U8" s="12">
        <f t="shared" si="12"/>
        <v>5.1944614865025152</v>
      </c>
      <c r="V8" s="12">
        <f t="shared" si="13"/>
        <v>144.3724</v>
      </c>
    </row>
    <row r="9" spans="1:22" x14ac:dyDescent="0.35">
      <c r="A9" s="18">
        <v>2017</v>
      </c>
      <c r="B9" s="19">
        <v>13382.592498745218</v>
      </c>
      <c r="C9" s="11" cm="1">
        <f t="array" ref="C9">INDEX('My Series (2)'!$C:$C,9+($A9-2009)*4)</f>
        <v>372.21629999999999</v>
      </c>
      <c r="D9" s="15" cm="1">
        <f t="array" ref="D9">INDEX('My Series (3)'!$C:$C,9+($A9-2009)*4)</f>
        <v>7863.2</v>
      </c>
      <c r="E9" s="12">
        <f t="shared" si="6"/>
        <v>587.56926213940017</v>
      </c>
      <c r="F9" s="13">
        <f t="shared" si="7"/>
        <v>959.7855621394001</v>
      </c>
      <c r="G9" s="16">
        <f t="shared" si="0"/>
        <v>0.61218806087235256</v>
      </c>
      <c r="H9" s="17">
        <f t="shared" si="1"/>
        <v>0.3878119391276475</v>
      </c>
      <c r="I9" s="11" cm="1">
        <f t="array" ref="I9">INDEX('My Series'!$C:$C,9+($A9-2009)*4)</f>
        <v>368.88850000000002</v>
      </c>
      <c r="J9" s="20" cm="1">
        <f t="array" ref="J9">INDEX('My Series (5)'!$C:$C,9+($A9-2009)*4)</f>
        <v>195.83</v>
      </c>
      <c r="K9" s="12">
        <f t="shared" si="2"/>
        <v>14.633188600666236</v>
      </c>
      <c r="L9" s="13">
        <f t="shared" si="3"/>
        <v>383.52168860066627</v>
      </c>
      <c r="M9" s="14">
        <f t="shared" si="4"/>
        <v>3.8154787683735744E-2</v>
      </c>
      <c r="N9" s="14">
        <f t="shared" si="5"/>
        <v>0.96184521231626419</v>
      </c>
      <c r="P9" s="24" t="str">
        <f t="shared" si="8"/>
        <v>2017</v>
      </c>
      <c r="Q9" s="12">
        <f t="shared" si="9"/>
        <v>587.56926213940017</v>
      </c>
      <c r="R9" s="12">
        <f t="shared" si="10"/>
        <v>372.21629999999999</v>
      </c>
      <c r="T9" s="24" t="str">
        <f t="shared" si="11"/>
        <v>2017</v>
      </c>
      <c r="U9" s="12">
        <f t="shared" si="12"/>
        <v>14.633188600666236</v>
      </c>
      <c r="V9" s="12">
        <f t="shared" si="13"/>
        <v>368.88850000000002</v>
      </c>
    </row>
    <row r="10" spans="1:22" x14ac:dyDescent="0.35">
      <c r="A10" s="18">
        <v>2018</v>
      </c>
      <c r="B10" s="19">
        <v>14232.153047556305</v>
      </c>
      <c r="C10" s="11" cm="1">
        <f t="array" ref="C10">INDEX('My Series (2)'!$C:$C,9+($A10-2009)*4)</f>
        <v>305.39240000000001</v>
      </c>
      <c r="D10" s="15" cm="1">
        <f t="array" ref="D10">INDEX('My Series (3)'!$C:$C,9+($A10-2009)*4)</f>
        <v>3596.7694999999999</v>
      </c>
      <c r="E10" s="12">
        <f t="shared" si="6"/>
        <v>252.72138993878892</v>
      </c>
      <c r="F10" s="13">
        <f t="shared" si="7"/>
        <v>558.11378993878895</v>
      </c>
      <c r="G10" s="16">
        <f t="shared" si="0"/>
        <v>0.45281337693968482</v>
      </c>
      <c r="H10" s="17">
        <f t="shared" si="1"/>
        <v>0.54718662306031518</v>
      </c>
      <c r="I10" s="11" cm="1">
        <f t="array" ref="I10">INDEX('My Series'!$C:$C,9+($A10-2009)*4)</f>
        <v>243.6498</v>
      </c>
      <c r="J10" s="20" cm="1">
        <f t="array" ref="J10">INDEX('My Series (5)'!$C:$C,9+($A10-2009)*4)</f>
        <v>282.12470000000002</v>
      </c>
      <c r="K10" s="12">
        <f t="shared" si="2"/>
        <v>19.8230513020264</v>
      </c>
      <c r="L10" s="13">
        <f t="shared" si="3"/>
        <v>263.47285130202641</v>
      </c>
      <c r="M10" s="14">
        <f t="shared" si="4"/>
        <v>7.5237548020849684E-2</v>
      </c>
      <c r="N10" s="14">
        <f t="shared" si="5"/>
        <v>0.9247624519791503</v>
      </c>
      <c r="P10" s="24" t="str">
        <f t="shared" si="8"/>
        <v>2018</v>
      </c>
      <c r="Q10" s="12">
        <f t="shared" si="9"/>
        <v>252.72138993878892</v>
      </c>
      <c r="R10" s="12">
        <f t="shared" si="10"/>
        <v>305.39240000000001</v>
      </c>
      <c r="T10" s="24" t="str">
        <f t="shared" si="11"/>
        <v>2018</v>
      </c>
      <c r="U10" s="12">
        <f t="shared" si="12"/>
        <v>19.8230513020264</v>
      </c>
      <c r="V10" s="12">
        <f t="shared" si="13"/>
        <v>243.6498</v>
      </c>
    </row>
    <row r="11" spans="1:22" x14ac:dyDescent="0.35">
      <c r="A11" s="18">
        <v>2019</v>
      </c>
      <c r="B11" s="19">
        <v>14143.28374741201</v>
      </c>
      <c r="C11" s="11" cm="1">
        <f t="array" ref="C11">INDEX('My Series (2)'!$C:$C,9+($A11-2009)*4)</f>
        <v>238.88890000000001</v>
      </c>
      <c r="D11" s="15" cm="1">
        <f t="array" ref="D11">INDEX('My Series (3)'!$C:$C,9+($A11-2009)*4)</f>
        <v>1312.5947000000001</v>
      </c>
      <c r="E11" s="12">
        <f t="shared" si="6"/>
        <v>92.806926838343585</v>
      </c>
      <c r="F11" s="13">
        <f t="shared" si="7"/>
        <v>331.69582683834358</v>
      </c>
      <c r="G11" s="16">
        <f t="shared" si="0"/>
        <v>0.27979528028121464</v>
      </c>
      <c r="H11" s="17">
        <f t="shared" si="1"/>
        <v>0.72020471971878541</v>
      </c>
      <c r="I11" s="11" cm="1">
        <f t="array" ref="I11">INDEX('My Series'!$C:$C,9+($A11-2009)*4)</f>
        <v>188.34</v>
      </c>
      <c r="J11" s="20" cm="1">
        <f t="array" ref="J11">INDEX('My Series (5)'!$C:$C,9+($A11-2009)*4)</f>
        <v>77.368499999999997</v>
      </c>
      <c r="K11" s="12">
        <f t="shared" si="2"/>
        <v>5.4703349930426999</v>
      </c>
      <c r="L11" s="13">
        <f t="shared" si="3"/>
        <v>193.81033499304272</v>
      </c>
      <c r="M11" s="14">
        <f t="shared" si="4"/>
        <v>2.8225197553262939E-2</v>
      </c>
      <c r="N11" s="14">
        <f t="shared" si="5"/>
        <v>0.97177480244673697</v>
      </c>
      <c r="P11" s="24" t="str">
        <f t="shared" si="8"/>
        <v>2019</v>
      </c>
      <c r="Q11" s="12">
        <f t="shared" si="9"/>
        <v>92.806926838343585</v>
      </c>
      <c r="R11" s="12">
        <f t="shared" si="10"/>
        <v>238.88890000000001</v>
      </c>
      <c r="T11" s="24" t="str">
        <f t="shared" si="11"/>
        <v>2019</v>
      </c>
      <c r="U11" s="12">
        <f t="shared" si="12"/>
        <v>5.4703349930426999</v>
      </c>
      <c r="V11" s="12">
        <f t="shared" si="13"/>
        <v>188.34</v>
      </c>
    </row>
    <row r="12" spans="1:22" x14ac:dyDescent="0.35">
      <c r="A12" s="18">
        <v>2020</v>
      </c>
      <c r="B12" s="19">
        <v>14542.288285024153</v>
      </c>
      <c r="C12" s="11" cm="1">
        <f t="array" ref="C12">INDEX('My Series (2)'!$C:$C,9+($A12-2009)*4)</f>
        <v>279.7903</v>
      </c>
      <c r="D12" s="15" cm="1">
        <f t="array" ref="D12">INDEX('My Series (3)'!$C:$C,9+($A12-2009)*4)</f>
        <v>2103.2136</v>
      </c>
      <c r="E12" s="12">
        <f t="shared" si="6"/>
        <v>144.62741755476807</v>
      </c>
      <c r="F12" s="13">
        <f t="shared" si="7"/>
        <v>424.41771755476805</v>
      </c>
      <c r="G12" s="16">
        <f t="shared" si="0"/>
        <v>0.3407666823807961</v>
      </c>
      <c r="H12" s="17">
        <f t="shared" si="1"/>
        <v>0.65923331761920401</v>
      </c>
      <c r="I12" s="11" cm="1">
        <f t="array" ref="I12">INDEX('My Series'!$C:$C,9+($A12-2009)*4)</f>
        <v>214.03870000000001</v>
      </c>
      <c r="J12" s="20" cm="1">
        <f t="array" ref="J12">INDEX('My Series (5)'!$C:$C,9+($A12-2009)*4)</f>
        <v>394.76830000000001</v>
      </c>
      <c r="K12" s="12">
        <f t="shared" si="2"/>
        <v>27.146229827291883</v>
      </c>
      <c r="L12" s="13">
        <f t="shared" si="3"/>
        <v>241.18492982729188</v>
      </c>
      <c r="M12" s="14">
        <f t="shared" si="4"/>
        <v>0.11255359050306668</v>
      </c>
      <c r="N12" s="14">
        <f t="shared" si="5"/>
        <v>0.88744640949693332</v>
      </c>
      <c r="P12" s="24" t="str">
        <f t="shared" si="8"/>
        <v>2020</v>
      </c>
      <c r="Q12" s="12">
        <f t="shared" si="9"/>
        <v>144.62741755476807</v>
      </c>
      <c r="R12" s="12">
        <f t="shared" si="10"/>
        <v>279.7903</v>
      </c>
      <c r="T12" s="24" t="str">
        <f t="shared" si="11"/>
        <v>2020</v>
      </c>
      <c r="U12" s="12">
        <f t="shared" si="12"/>
        <v>27.146229827291883</v>
      </c>
      <c r="V12" s="12">
        <f t="shared" si="13"/>
        <v>214.03870000000001</v>
      </c>
    </row>
    <row r="13" spans="1:22" x14ac:dyDescent="0.35">
      <c r="A13" s="18">
        <v>2021</v>
      </c>
      <c r="B13" s="19">
        <v>14291.323841677646</v>
      </c>
      <c r="C13" s="11" cm="1">
        <f t="array" ref="C13">INDEX('My Series (2)'!$C:$C,9+($A13-2009)*4)</f>
        <v>312.19869999999997</v>
      </c>
      <c r="D13" s="15" cm="1">
        <f t="array" ref="D13">INDEX('My Series (3)'!$C:$C,9+($A13-2009)*4)</f>
        <v>1972.4321</v>
      </c>
      <c r="E13" s="12">
        <f t="shared" si="6"/>
        <v>138.01605238612086</v>
      </c>
      <c r="F13" s="13">
        <f t="shared" si="7"/>
        <v>450.21475238612084</v>
      </c>
      <c r="G13" s="16">
        <f t="shared" si="0"/>
        <v>0.30655604165487937</v>
      </c>
      <c r="H13" s="17">
        <f t="shared" si="1"/>
        <v>0.69344395834512063</v>
      </c>
      <c r="I13" s="11" cm="1">
        <f t="array" ref="I13">INDEX('My Series'!$C:$C,9+($A13-2009)*4)</f>
        <v>485.52370000000002</v>
      </c>
      <c r="J13" s="20" cm="1">
        <f t="array" ref="J13">INDEX('My Series (5)'!$C:$C,9+($A13-2009)*4)</f>
        <v>700.39469999999994</v>
      </c>
      <c r="K13" s="12">
        <f t="shared" si="2"/>
        <v>49.008384930544075</v>
      </c>
      <c r="L13" s="13">
        <f t="shared" si="3"/>
        <v>534.5320849305441</v>
      </c>
      <c r="M13" s="14">
        <f t="shared" si="4"/>
        <v>9.168464590280323E-2</v>
      </c>
      <c r="N13" s="14">
        <f t="shared" si="5"/>
        <v>0.90831535409719677</v>
      </c>
      <c r="P13" s="24" t="str">
        <f t="shared" si="8"/>
        <v>2021</v>
      </c>
      <c r="Q13" s="12">
        <f t="shared" si="9"/>
        <v>138.01605238612086</v>
      </c>
      <c r="R13" s="12">
        <f t="shared" si="10"/>
        <v>312.19869999999997</v>
      </c>
      <c r="T13" s="24" t="str">
        <f t="shared" si="11"/>
        <v>2021</v>
      </c>
      <c r="U13" s="12">
        <f t="shared" si="12"/>
        <v>49.008384930544075</v>
      </c>
      <c r="V13" s="12">
        <f t="shared" si="13"/>
        <v>485.52370000000002</v>
      </c>
    </row>
    <row r="14" spans="1:22" x14ac:dyDescent="0.35">
      <c r="A14" s="18">
        <v>2022</v>
      </c>
      <c r="B14" s="19">
        <v>14850.866585889957</v>
      </c>
      <c r="C14" s="11" cm="1">
        <f t="array" ref="C14">INDEX('My Series (2)'!$C:$C,9+($A14-2009)*4)</f>
        <v>658.29399999999998</v>
      </c>
      <c r="D14" s="15" cm="1">
        <f t="array" ref="D14">INDEX('My Series (3)'!$C:$C,9+($A14-2009)*4)</f>
        <v>5614.7133000000003</v>
      </c>
      <c r="E14" s="12">
        <f t="shared" si="6"/>
        <v>378.07310890090605</v>
      </c>
      <c r="F14" s="13">
        <f t="shared" si="7"/>
        <v>1036.367108900906</v>
      </c>
      <c r="G14" s="16">
        <f t="shared" si="0"/>
        <v>0.36480616342780531</v>
      </c>
      <c r="H14" s="17">
        <f t="shared" si="1"/>
        <v>0.63519383657219464</v>
      </c>
      <c r="I14" s="11" cm="1">
        <f t="array" ref="I14">INDEX('My Series'!$C:$C,9+($A14-2009)*4)</f>
        <v>630.43389999999999</v>
      </c>
      <c r="J14" s="20" cm="1">
        <f t="array" ref="J14">INDEX('My Series (5)'!$C:$C,9+($A14-2009)*4)</f>
        <v>483.51479999999998</v>
      </c>
      <c r="K14" s="12">
        <f t="shared" si="2"/>
        <v>32.558019237705295</v>
      </c>
      <c r="L14" s="13">
        <f t="shared" si="3"/>
        <v>662.99191923770525</v>
      </c>
      <c r="M14" s="14">
        <f t="shared" si="4"/>
        <v>4.9107716539199826E-2</v>
      </c>
      <c r="N14" s="14">
        <f t="shared" si="5"/>
        <v>0.95089228346080024</v>
      </c>
      <c r="P14" s="24" t="str">
        <f t="shared" si="8"/>
        <v>2022</v>
      </c>
      <c r="Q14" s="12">
        <f t="shared" si="9"/>
        <v>378.07310890090605</v>
      </c>
      <c r="R14" s="12">
        <f t="shared" si="10"/>
        <v>658.29399999999998</v>
      </c>
      <c r="T14" s="24" t="str">
        <f t="shared" si="11"/>
        <v>2022</v>
      </c>
      <c r="U14" s="12">
        <f t="shared" si="12"/>
        <v>32.558019237705295</v>
      </c>
      <c r="V14" s="12">
        <f t="shared" si="13"/>
        <v>630.43389999999999</v>
      </c>
    </row>
    <row r="15" spans="1:22" x14ac:dyDescent="0.35">
      <c r="A15" s="18">
        <v>2023</v>
      </c>
      <c r="B15" s="19">
        <v>15230.516258861911</v>
      </c>
      <c r="C15" s="11" cm="1">
        <f t="array" ref="C15">INDEX('My Series (2)'!$C:$C,9+($A15-2009)*4)</f>
        <v>457.53750000000002</v>
      </c>
      <c r="D15" s="15" cm="1">
        <f t="array" ref="D15">INDEX('My Series (3)'!$C:$C,9+($A15-2009)*4)</f>
        <v>7949.7638999999999</v>
      </c>
      <c r="E15" s="12">
        <f t="shared" si="6"/>
        <v>521.96286487494547</v>
      </c>
      <c r="F15" s="13">
        <f t="shared" si="7"/>
        <v>979.50036487494549</v>
      </c>
      <c r="G15" s="16">
        <f t="shared" si="0"/>
        <v>0.53288685088094412</v>
      </c>
      <c r="H15" s="17">
        <f t="shared" si="1"/>
        <v>0.46711314911905583</v>
      </c>
      <c r="I15" s="11" cm="1">
        <f t="array" ref="I15">INDEX('My Series'!$C:$C,9+($A15-2009)*4)</f>
        <v>782.46550000000002</v>
      </c>
      <c r="J15" s="20" cm="1">
        <f t="array" ref="J15">INDEX('My Series (5)'!$C:$C,9+($A15-2009)*4)</f>
        <v>1641.4924000000001</v>
      </c>
      <c r="K15" s="12">
        <f t="shared" si="2"/>
        <v>107.77654362470437</v>
      </c>
      <c r="L15" s="13">
        <f t="shared" si="3"/>
        <v>890.24204362470437</v>
      </c>
      <c r="M15" s="14">
        <f t="shared" si="4"/>
        <v>0.12106431548198063</v>
      </c>
      <c r="N15" s="14">
        <f t="shared" si="5"/>
        <v>0.8789356845180194</v>
      </c>
      <c r="P15" s="24" t="str">
        <f t="shared" si="8"/>
        <v>2023</v>
      </c>
      <c r="Q15" s="12">
        <f t="shared" si="9"/>
        <v>521.96286487494547</v>
      </c>
      <c r="R15" s="12">
        <f t="shared" si="10"/>
        <v>457.53750000000002</v>
      </c>
      <c r="T15" s="24" t="str">
        <f t="shared" si="11"/>
        <v>2023</v>
      </c>
      <c r="U15" s="12">
        <f t="shared" si="12"/>
        <v>107.77654362470437</v>
      </c>
      <c r="V15" s="12">
        <f t="shared" si="13"/>
        <v>782.46550000000002</v>
      </c>
    </row>
    <row r="16" spans="1:22" x14ac:dyDescent="0.35">
      <c r="A16" s="18">
        <v>2024</v>
      </c>
      <c r="B16" s="19">
        <v>15844.788640284836</v>
      </c>
      <c r="C16" s="11" cm="1">
        <f t="array" ref="C16">INDEX('My Series (2)'!$C:$C,9+($A16-2009)*4)</f>
        <v>947.86220000000003</v>
      </c>
      <c r="D16" s="15" cm="1">
        <f t="array" ref="D16">INDEX('My Series (3)'!$C:$C,9+($A16-2009)*4)</f>
        <v>7217.6296000000002</v>
      </c>
      <c r="E16" s="12">
        <f t="shared" si="6"/>
        <v>455.52072443866007</v>
      </c>
      <c r="F16" s="13">
        <f t="shared" si="7"/>
        <v>1403.3829244386602</v>
      </c>
      <c r="G16" s="16">
        <f t="shared" si="0"/>
        <v>0.32458762074568065</v>
      </c>
      <c r="H16" s="17">
        <f t="shared" si="1"/>
        <v>0.6754123792543193</v>
      </c>
      <c r="I16" s="11" cm="1">
        <f t="array" ref="I16">INDEX('My Series'!$C:$C,9+($A16-2009)*4)</f>
        <v>903.55740000000003</v>
      </c>
      <c r="J16" s="20" cm="1">
        <f t="array" ref="J16">INDEX('My Series (5)'!$C:$C,9+($A16-2009)*4)</f>
        <v>1643.8257000000001</v>
      </c>
      <c r="K16" s="12">
        <f t="shared" si="2"/>
        <v>103.74551136773319</v>
      </c>
      <c r="L16" s="13">
        <f t="shared" si="3"/>
        <v>1007.3029113677333</v>
      </c>
      <c r="M16" s="14">
        <f t="shared" si="4"/>
        <v>0.10299335998827377</v>
      </c>
      <c r="N16" s="14">
        <f t="shared" si="5"/>
        <v>0.89700664001172614</v>
      </c>
      <c r="P16" s="24" t="str">
        <f t="shared" si="8"/>
        <v>2024</v>
      </c>
      <c r="Q16" s="12">
        <f t="shared" si="9"/>
        <v>455.52072443866007</v>
      </c>
      <c r="R16" s="12">
        <f t="shared" si="10"/>
        <v>947.86220000000003</v>
      </c>
      <c r="T16" s="24" t="str">
        <f t="shared" si="11"/>
        <v>2024</v>
      </c>
      <c r="U16" s="12">
        <f t="shared" si="12"/>
        <v>103.74551136773319</v>
      </c>
      <c r="V16" s="12">
        <f t="shared" si="13"/>
        <v>903.55740000000003</v>
      </c>
    </row>
    <row r="17" spans="1:22" x14ac:dyDescent="0.35">
      <c r="A17" s="18">
        <v>2025</v>
      </c>
      <c r="B17" s="19">
        <v>16464.337833301968</v>
      </c>
      <c r="C17" s="11" cm="1">
        <f t="array" ref="C17">INDEX('My Series (2)'!$C:$C,9+($A17-2009)*4)</f>
        <v>688.75530075999995</v>
      </c>
      <c r="D17" s="11" cm="1">
        <f t="array" ref="D17">INDEX('My Series (3)'!$C:$C,9+($A17-2009)*4)</f>
        <v>9206.0705681100007</v>
      </c>
      <c r="E17" s="21">
        <f>D17*1000/$B17</f>
        <v>559.15219071180206</v>
      </c>
      <c r="F17" s="22">
        <f>C17+E17</f>
        <v>1247.9074914718021</v>
      </c>
      <c r="G17" s="23">
        <f>IFERROR(E17/F17,"")</f>
        <v>0.44807182786628597</v>
      </c>
      <c r="H17" s="23">
        <f>IFERROR(C17/F17,"")</f>
        <v>0.55192817213371392</v>
      </c>
      <c r="I17" s="11" cm="1">
        <f t="array" ref="I17">INDEX('My Series'!$C:$C,9+($A17-2009)*4)</f>
        <v>1511.58147955</v>
      </c>
      <c r="J17" s="11" cm="1">
        <f t="array" ref="J17">INDEX('My Series (5)'!$C:$C,9+($A17-2009)*4)</f>
        <v>1646.43827637</v>
      </c>
      <c r="K17" s="21">
        <f>IF($J17="","",$J17*1000/$B17)</f>
        <v>100.00027289526301</v>
      </c>
      <c r="L17" s="22">
        <f>I17+N(K17)</f>
        <v>1611.581752445263</v>
      </c>
      <c r="M17" s="23">
        <f>IFERROR(N(K17)/L17,"")</f>
        <v>6.2051008422955876E-2</v>
      </c>
      <c r="N17" s="23">
        <f>IFERROR(I17/L17,"")</f>
        <v>0.93794899157704414</v>
      </c>
      <c r="P17" s="24" t="str">
        <f t="shared" si="8"/>
        <v>2025</v>
      </c>
      <c r="Q17" s="12">
        <f t="shared" si="9"/>
        <v>559.15219071180206</v>
      </c>
      <c r="R17" s="12">
        <f t="shared" si="10"/>
        <v>688.75530075999995</v>
      </c>
      <c r="T17" s="24" t="str">
        <f t="shared" si="11"/>
        <v>2025</v>
      </c>
      <c r="U17" s="12">
        <f t="shared" si="12"/>
        <v>100.00027289526301</v>
      </c>
      <c r="V17" s="12">
        <f t="shared" si="13"/>
        <v>1511.58147955</v>
      </c>
    </row>
  </sheetData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4"/>
  <sheetViews>
    <sheetView topLeftCell="A48" workbookViewId="0">
      <selection activeCell="E12" sqref="E12"/>
    </sheetView>
  </sheetViews>
  <sheetFormatPr defaultRowHeight="14.5" x14ac:dyDescent="0.35"/>
  <sheetData>
    <row r="1" spans="1:3" x14ac:dyDescent="0.35">
      <c r="A1" s="1" t="str">
        <f>_xll.CEIC.Link("cc929daf-6039-4398-817f-35a05a6ce19c", "Series")</f>
        <v>Select this link and click Refresh/Edit Download to update data and add or remove series</v>
      </c>
      <c r="B1" s="2" t="s">
        <v>0</v>
      </c>
      <c r="C1" s="2" t="s">
        <v>0</v>
      </c>
    </row>
    <row r="2" spans="1:3" x14ac:dyDescent="0.35">
      <c r="A2" s="2" t="s">
        <v>1</v>
      </c>
      <c r="B2" s="2" t="s">
        <v>2</v>
      </c>
      <c r="C2" s="2" t="s">
        <v>2</v>
      </c>
    </row>
    <row r="3" spans="1:3" x14ac:dyDescent="0.35">
      <c r="A3" s="2" t="s">
        <v>3</v>
      </c>
      <c r="B3" s="2" t="s">
        <v>4</v>
      </c>
      <c r="C3" s="2" t="s">
        <v>4</v>
      </c>
    </row>
    <row r="4" spans="1:3" x14ac:dyDescent="0.35">
      <c r="A4" s="2" t="s">
        <v>5</v>
      </c>
      <c r="B4" s="2" t="s">
        <v>6</v>
      </c>
      <c r="C4" s="2" t="s">
        <v>6</v>
      </c>
    </row>
    <row r="5" spans="1:3" x14ac:dyDescent="0.35">
      <c r="A5" s="3" t="s">
        <v>7</v>
      </c>
      <c r="B5" s="3" t="s">
        <v>8</v>
      </c>
      <c r="C5" s="3" t="s">
        <v>8</v>
      </c>
    </row>
    <row r="6" spans="1:3" x14ac:dyDescent="0.35">
      <c r="A6" s="4">
        <v>39873</v>
      </c>
      <c r="B6" s="5">
        <v>32.975999999999999</v>
      </c>
    </row>
    <row r="7" spans="1:3" x14ac:dyDescent="0.35">
      <c r="A7" s="4">
        <v>39965</v>
      </c>
      <c r="B7" s="5">
        <v>52.326999999999998</v>
      </c>
    </row>
    <row r="8" spans="1:3" x14ac:dyDescent="0.35">
      <c r="A8" s="4">
        <v>40057</v>
      </c>
      <c r="B8" s="5">
        <v>23.764900000000001</v>
      </c>
    </row>
    <row r="9" spans="1:3" x14ac:dyDescent="0.35">
      <c r="A9" s="4">
        <v>40148</v>
      </c>
      <c r="B9" s="5">
        <v>13.5505</v>
      </c>
      <c r="C9" s="5">
        <v>122.61839999999999</v>
      </c>
    </row>
    <row r="10" spans="1:3" x14ac:dyDescent="0.35">
      <c r="A10" s="4">
        <v>40238</v>
      </c>
    </row>
    <row r="11" spans="1:3" x14ac:dyDescent="0.35">
      <c r="A11" s="4">
        <v>40330</v>
      </c>
      <c r="B11" s="5">
        <v>10.8574</v>
      </c>
    </row>
    <row r="12" spans="1:3" x14ac:dyDescent="0.35">
      <c r="A12" s="4">
        <v>40422</v>
      </c>
      <c r="B12" s="5">
        <v>38.538800000000002</v>
      </c>
    </row>
    <row r="13" spans="1:3" x14ac:dyDescent="0.35">
      <c r="A13" s="4">
        <v>40513</v>
      </c>
      <c r="B13" s="5">
        <v>80.985299999999995</v>
      </c>
      <c r="C13" s="5">
        <v>130.38149999999999</v>
      </c>
    </row>
    <row r="14" spans="1:3" x14ac:dyDescent="0.35">
      <c r="A14" s="4">
        <v>40603</v>
      </c>
      <c r="B14" s="5">
        <v>60.831299999999999</v>
      </c>
    </row>
    <row r="15" spans="1:3" x14ac:dyDescent="0.35">
      <c r="A15" s="4">
        <v>40695</v>
      </c>
      <c r="B15" s="5">
        <v>58.910299999999999</v>
      </c>
    </row>
    <row r="16" spans="1:3" x14ac:dyDescent="0.35">
      <c r="A16" s="4">
        <v>40787</v>
      </c>
      <c r="B16" s="5">
        <v>61.483199999999997</v>
      </c>
    </row>
    <row r="17" spans="1:3" x14ac:dyDescent="0.35">
      <c r="A17" s="4">
        <v>40878</v>
      </c>
      <c r="B17" s="5">
        <v>73.783100000000005</v>
      </c>
      <c r="C17" s="5">
        <v>255.00790000000001</v>
      </c>
    </row>
    <row r="18" spans="1:3" x14ac:dyDescent="0.35">
      <c r="A18" s="4">
        <v>40969</v>
      </c>
      <c r="B18" s="5">
        <v>69.356399999999994</v>
      </c>
    </row>
    <row r="19" spans="1:3" x14ac:dyDescent="0.35">
      <c r="A19" s="4">
        <v>41061</v>
      </c>
      <c r="B19" s="5">
        <v>53.811700000000002</v>
      </c>
    </row>
    <row r="20" spans="1:3" x14ac:dyDescent="0.35">
      <c r="A20" s="4">
        <v>41153</v>
      </c>
      <c r="B20" s="5">
        <v>6.8975</v>
      </c>
    </row>
    <row r="21" spans="1:3" x14ac:dyDescent="0.35">
      <c r="A21" s="4">
        <v>41244</v>
      </c>
      <c r="B21" s="5">
        <v>28.819099999999999</v>
      </c>
      <c r="C21" s="5">
        <v>158.88470000000001</v>
      </c>
    </row>
    <row r="22" spans="1:3" x14ac:dyDescent="0.35">
      <c r="A22" s="4">
        <v>41334</v>
      </c>
      <c r="B22" s="5">
        <v>25.419899999999998</v>
      </c>
    </row>
    <row r="23" spans="1:3" x14ac:dyDescent="0.35">
      <c r="A23" s="4">
        <v>41426</v>
      </c>
      <c r="B23" s="5">
        <v>3.8451</v>
      </c>
    </row>
    <row r="24" spans="1:3" x14ac:dyDescent="0.35">
      <c r="A24" s="4">
        <v>41518</v>
      </c>
      <c r="B24" s="5">
        <v>15.783799999999999</v>
      </c>
    </row>
    <row r="25" spans="1:3" x14ac:dyDescent="0.35">
      <c r="A25" s="4">
        <v>41609</v>
      </c>
      <c r="B25" s="5">
        <v>51.148400000000002</v>
      </c>
      <c r="C25" s="5">
        <v>96.197199999999995</v>
      </c>
    </row>
    <row r="26" spans="1:3" x14ac:dyDescent="0.35">
      <c r="A26" s="4">
        <v>41699</v>
      </c>
      <c r="B26" s="5">
        <v>146.1671</v>
      </c>
    </row>
    <row r="27" spans="1:3" x14ac:dyDescent="0.35">
      <c r="A27" s="4">
        <v>41791</v>
      </c>
      <c r="B27" s="5">
        <v>17.534400000000002</v>
      </c>
    </row>
    <row r="28" spans="1:3" x14ac:dyDescent="0.35">
      <c r="A28" s="4">
        <v>41883</v>
      </c>
      <c r="B28" s="5">
        <v>13.4415</v>
      </c>
    </row>
    <row r="29" spans="1:3" x14ac:dyDescent="0.35">
      <c r="A29" s="4">
        <v>41974</v>
      </c>
      <c r="B29" s="5">
        <v>33.518300000000004</v>
      </c>
      <c r="C29" s="5">
        <v>210.66130000000001</v>
      </c>
    </row>
    <row r="30" spans="1:3" x14ac:dyDescent="0.35">
      <c r="A30" s="4">
        <v>42064</v>
      </c>
      <c r="B30" s="5">
        <v>11.946099999999999</v>
      </c>
    </row>
    <row r="31" spans="1:3" x14ac:dyDescent="0.35">
      <c r="A31" s="4">
        <v>42156</v>
      </c>
      <c r="B31" s="5">
        <v>55.351700000000001</v>
      </c>
    </row>
    <row r="32" spans="1:3" x14ac:dyDescent="0.35">
      <c r="A32" s="4">
        <v>42248</v>
      </c>
      <c r="B32" s="5">
        <v>61.190199999999997</v>
      </c>
    </row>
    <row r="33" spans="1:3" x14ac:dyDescent="0.35">
      <c r="A33" s="4">
        <v>42339</v>
      </c>
      <c r="B33" s="5">
        <v>33.088299999999997</v>
      </c>
      <c r="C33" s="5">
        <v>161.5763</v>
      </c>
    </row>
    <row r="34" spans="1:3" x14ac:dyDescent="0.35">
      <c r="A34" s="4">
        <v>42430</v>
      </c>
      <c r="B34" s="5">
        <v>26.732500000000002</v>
      </c>
    </row>
    <row r="35" spans="1:3" x14ac:dyDescent="0.35">
      <c r="A35" s="4">
        <v>42522</v>
      </c>
      <c r="B35" s="5">
        <v>61.3857</v>
      </c>
    </row>
    <row r="36" spans="1:3" x14ac:dyDescent="0.35">
      <c r="A36" s="4">
        <v>42614</v>
      </c>
      <c r="B36" s="5">
        <v>44.361400000000003</v>
      </c>
    </row>
    <row r="37" spans="1:3" x14ac:dyDescent="0.35">
      <c r="A37" s="4">
        <v>42705</v>
      </c>
      <c r="B37" s="5">
        <v>11.892799999999999</v>
      </c>
      <c r="C37" s="5">
        <v>144.3724</v>
      </c>
    </row>
    <row r="38" spans="1:3" x14ac:dyDescent="0.35">
      <c r="A38" s="4">
        <v>42795</v>
      </c>
      <c r="B38" s="5">
        <v>146.57040000000001</v>
      </c>
    </row>
    <row r="39" spans="1:3" x14ac:dyDescent="0.35">
      <c r="A39" s="4">
        <v>42887</v>
      </c>
      <c r="B39" s="5">
        <v>40.471200000000003</v>
      </c>
    </row>
    <row r="40" spans="1:3" x14ac:dyDescent="0.35">
      <c r="A40" s="4">
        <v>42979</v>
      </c>
      <c r="B40" s="5">
        <v>71.842500000000001</v>
      </c>
    </row>
    <row r="41" spans="1:3" x14ac:dyDescent="0.35">
      <c r="A41" s="4">
        <v>43070</v>
      </c>
      <c r="B41" s="5">
        <v>110.0044</v>
      </c>
      <c r="C41" s="5">
        <v>368.88850000000002</v>
      </c>
    </row>
    <row r="42" spans="1:3" x14ac:dyDescent="0.35">
      <c r="A42" s="4">
        <v>43160</v>
      </c>
      <c r="B42" s="5">
        <v>81.014600000000002</v>
      </c>
    </row>
    <row r="43" spans="1:3" x14ac:dyDescent="0.35">
      <c r="A43" s="4">
        <v>43252</v>
      </c>
      <c r="B43" s="5">
        <v>80.981300000000005</v>
      </c>
    </row>
    <row r="44" spans="1:3" x14ac:dyDescent="0.35">
      <c r="A44" s="4">
        <v>43344</v>
      </c>
      <c r="B44" s="5">
        <v>15.8367</v>
      </c>
    </row>
    <row r="45" spans="1:3" x14ac:dyDescent="0.35">
      <c r="A45" s="4">
        <v>43435</v>
      </c>
      <c r="B45" s="5">
        <v>65.8172</v>
      </c>
      <c r="C45" s="5">
        <v>243.6498</v>
      </c>
    </row>
    <row r="46" spans="1:3" x14ac:dyDescent="0.35">
      <c r="A46" s="4">
        <v>43525</v>
      </c>
      <c r="B46" s="5">
        <v>91.046000000000006</v>
      </c>
    </row>
    <row r="47" spans="1:3" x14ac:dyDescent="0.35">
      <c r="A47" s="4">
        <v>43617</v>
      </c>
      <c r="B47" s="5">
        <v>14.735099999999999</v>
      </c>
    </row>
    <row r="48" spans="1:3" x14ac:dyDescent="0.35">
      <c r="A48" s="4">
        <v>43709</v>
      </c>
      <c r="B48" s="5">
        <v>43.137500000000003</v>
      </c>
    </row>
    <row r="49" spans="1:3" x14ac:dyDescent="0.35">
      <c r="A49" s="4">
        <v>43800</v>
      </c>
      <c r="B49" s="5">
        <v>39.421399999999998</v>
      </c>
      <c r="C49" s="5">
        <v>188.34</v>
      </c>
    </row>
    <row r="50" spans="1:3" x14ac:dyDescent="0.35">
      <c r="A50" s="4">
        <v>43891</v>
      </c>
      <c r="B50" s="5">
        <v>52.037300000000002</v>
      </c>
    </row>
    <row r="51" spans="1:3" x14ac:dyDescent="0.35">
      <c r="A51" s="4">
        <v>43983</v>
      </c>
      <c r="B51" s="5">
        <v>38.903399999999998</v>
      </c>
    </row>
    <row r="52" spans="1:3" x14ac:dyDescent="0.35">
      <c r="A52" s="4">
        <v>44075</v>
      </c>
      <c r="B52" s="5">
        <v>85.319100000000006</v>
      </c>
    </row>
    <row r="53" spans="1:3" x14ac:dyDescent="0.35">
      <c r="A53" s="4">
        <v>44166</v>
      </c>
      <c r="B53" s="5">
        <v>37.7789</v>
      </c>
      <c r="C53" s="5">
        <v>214.03870000000001</v>
      </c>
    </row>
    <row r="54" spans="1:3" x14ac:dyDescent="0.35">
      <c r="A54" s="4">
        <v>44256</v>
      </c>
      <c r="B54" s="5">
        <v>74.916300000000007</v>
      </c>
    </row>
    <row r="55" spans="1:3" x14ac:dyDescent="0.35">
      <c r="A55" s="4">
        <v>44348</v>
      </c>
      <c r="B55" s="5">
        <v>112.5532</v>
      </c>
    </row>
    <row r="56" spans="1:3" x14ac:dyDescent="0.35">
      <c r="A56" s="4">
        <v>44440</v>
      </c>
      <c r="B56" s="5">
        <v>97.837100000000007</v>
      </c>
    </row>
    <row r="57" spans="1:3" x14ac:dyDescent="0.35">
      <c r="A57" s="4">
        <v>44531</v>
      </c>
      <c r="B57" s="5">
        <v>200.21709999999999</v>
      </c>
      <c r="C57" s="5">
        <v>485.52370000000002</v>
      </c>
    </row>
    <row r="58" spans="1:3" x14ac:dyDescent="0.35">
      <c r="A58" s="4">
        <v>44621</v>
      </c>
      <c r="B58" s="5">
        <v>96.797300000000007</v>
      </c>
    </row>
    <row r="59" spans="1:3" x14ac:dyDescent="0.35">
      <c r="A59" s="4">
        <v>44713</v>
      </c>
      <c r="B59" s="5">
        <v>163.0592</v>
      </c>
    </row>
    <row r="60" spans="1:3" x14ac:dyDescent="0.35">
      <c r="A60" s="4">
        <v>44805</v>
      </c>
      <c r="B60" s="5">
        <v>241.18340000000001</v>
      </c>
    </row>
    <row r="61" spans="1:3" x14ac:dyDescent="0.35">
      <c r="A61" s="4">
        <v>44896</v>
      </c>
      <c r="B61" s="5">
        <v>129.39400000000001</v>
      </c>
      <c r="C61" s="5">
        <v>630.43389999999999</v>
      </c>
    </row>
    <row r="62" spans="1:3" x14ac:dyDescent="0.35">
      <c r="A62" s="4">
        <v>44986</v>
      </c>
      <c r="B62" s="5">
        <v>190.2062</v>
      </c>
    </row>
    <row r="63" spans="1:3" x14ac:dyDescent="0.35">
      <c r="A63" s="4">
        <v>45078</v>
      </c>
      <c r="B63" s="5">
        <v>178.3948</v>
      </c>
    </row>
    <row r="64" spans="1:3" x14ac:dyDescent="0.35">
      <c r="A64" s="4">
        <v>45170</v>
      </c>
      <c r="B64" s="5">
        <v>205.65119999999999</v>
      </c>
    </row>
    <row r="65" spans="1:3" x14ac:dyDescent="0.35">
      <c r="A65" s="4">
        <v>45261</v>
      </c>
      <c r="B65" s="5">
        <v>208.2133</v>
      </c>
      <c r="C65" s="5">
        <v>782.46550000000002</v>
      </c>
    </row>
    <row r="66" spans="1:3" x14ac:dyDescent="0.35">
      <c r="A66" s="4">
        <v>45352</v>
      </c>
      <c r="B66" s="5">
        <v>143.5531</v>
      </c>
    </row>
    <row r="67" spans="1:3" x14ac:dyDescent="0.35">
      <c r="A67" s="4">
        <v>45444</v>
      </c>
      <c r="B67" s="5">
        <v>193.46940000000001</v>
      </c>
    </row>
    <row r="68" spans="1:3" x14ac:dyDescent="0.35">
      <c r="A68" s="4">
        <v>45536</v>
      </c>
      <c r="B68" s="5">
        <v>330.7004</v>
      </c>
    </row>
    <row r="69" spans="1:3" x14ac:dyDescent="0.35">
      <c r="A69" s="4">
        <v>45627</v>
      </c>
      <c r="B69" s="5">
        <v>235.83449999999999</v>
      </c>
      <c r="C69" s="5">
        <v>903.55740000000003</v>
      </c>
    </row>
    <row r="70" spans="1:3" x14ac:dyDescent="0.35">
      <c r="A70" s="4">
        <v>45717</v>
      </c>
      <c r="B70" s="5">
        <v>415.99273248999998</v>
      </c>
    </row>
    <row r="71" spans="1:3" x14ac:dyDescent="0.35">
      <c r="A71" s="4">
        <v>45809</v>
      </c>
      <c r="B71" s="5">
        <v>387.10083557000002</v>
      </c>
    </row>
    <row r="72" spans="1:3" x14ac:dyDescent="0.35">
      <c r="A72" s="4">
        <v>45901</v>
      </c>
      <c r="B72" s="5">
        <v>315.45492825999997</v>
      </c>
    </row>
    <row r="73" spans="1:3" x14ac:dyDescent="0.35">
      <c r="A73" s="4">
        <v>45992</v>
      </c>
      <c r="B73" s="5">
        <v>393.03298323000001</v>
      </c>
      <c r="C73" s="5">
        <v>1511.58147955</v>
      </c>
    </row>
    <row r="74" spans="1:3" x14ac:dyDescent="0.35">
      <c r="A74" s="4">
        <v>46082</v>
      </c>
      <c r="B74" s="5">
        <v>326.83997367000001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C423C-7F14-42C9-8618-D83908695FBA}">
  <dimension ref="A1:C74"/>
  <sheetViews>
    <sheetView topLeftCell="A57" workbookViewId="0">
      <selection activeCell="F28" sqref="F28"/>
    </sheetView>
  </sheetViews>
  <sheetFormatPr defaultRowHeight="14.5" x14ac:dyDescent="0.35"/>
  <sheetData>
    <row r="1" spans="1:3" x14ac:dyDescent="0.35">
      <c r="A1" s="1" t="str">
        <f>_xll.CEIC.Link("b60f5021-b93b-46ee-a26d-b5f6cc99a387", "Series")</f>
        <v>Select this link and click Refresh/Edit Download to update data and add or remove series</v>
      </c>
      <c r="B1" s="2" t="s">
        <v>9</v>
      </c>
      <c r="C1" s="2" t="s">
        <v>9</v>
      </c>
    </row>
    <row r="2" spans="1:3" x14ac:dyDescent="0.35">
      <c r="A2" s="2" t="s">
        <v>1</v>
      </c>
      <c r="B2" s="2" t="s">
        <v>2</v>
      </c>
      <c r="C2" s="2" t="s">
        <v>2</v>
      </c>
    </row>
    <row r="3" spans="1:3" x14ac:dyDescent="0.35">
      <c r="A3" s="2" t="s">
        <v>3</v>
      </c>
      <c r="B3" s="2" t="s">
        <v>4</v>
      </c>
      <c r="C3" s="2" t="s">
        <v>4</v>
      </c>
    </row>
    <row r="4" spans="1:3" x14ac:dyDescent="0.35">
      <c r="A4" s="2" t="s">
        <v>5</v>
      </c>
      <c r="B4" s="2" t="s">
        <v>6</v>
      </c>
      <c r="C4" s="2" t="s">
        <v>6</v>
      </c>
    </row>
    <row r="5" spans="1:3" x14ac:dyDescent="0.35">
      <c r="A5" s="3" t="s">
        <v>7</v>
      </c>
      <c r="B5" s="3" t="s">
        <v>10</v>
      </c>
      <c r="C5" s="3" t="s">
        <v>10</v>
      </c>
    </row>
    <row r="6" spans="1:3" x14ac:dyDescent="0.35">
      <c r="A6" s="4">
        <v>39873</v>
      </c>
      <c r="B6" s="5">
        <v>38.706299999999999</v>
      </c>
    </row>
    <row r="7" spans="1:3" x14ac:dyDescent="0.35">
      <c r="A7" s="4">
        <v>39965</v>
      </c>
      <c r="B7" s="5">
        <v>119.31619999999999</v>
      </c>
    </row>
    <row r="8" spans="1:3" x14ac:dyDescent="0.35">
      <c r="A8" s="4">
        <v>40057</v>
      </c>
      <c r="B8" s="5">
        <v>65.631200000000007</v>
      </c>
    </row>
    <row r="9" spans="1:3" x14ac:dyDescent="0.35">
      <c r="A9" s="4">
        <v>40148</v>
      </c>
      <c r="B9" s="5">
        <v>28.128299999999999</v>
      </c>
      <c r="C9" s="5">
        <v>251.78200000000001</v>
      </c>
    </row>
    <row r="10" spans="1:3" x14ac:dyDescent="0.35">
      <c r="A10" s="4">
        <v>40238</v>
      </c>
      <c r="B10" s="5">
        <v>19.2255</v>
      </c>
    </row>
    <row r="11" spans="1:3" x14ac:dyDescent="0.35">
      <c r="A11" s="4">
        <v>40330</v>
      </c>
      <c r="B11" s="5">
        <v>3.55</v>
      </c>
    </row>
    <row r="12" spans="1:3" x14ac:dyDescent="0.35">
      <c r="A12" s="4">
        <v>40422</v>
      </c>
      <c r="B12" s="5">
        <v>89.715900000000005</v>
      </c>
    </row>
    <row r="13" spans="1:3" x14ac:dyDescent="0.35">
      <c r="A13" s="4">
        <v>40513</v>
      </c>
      <c r="B13" s="5">
        <v>42.303699999999999</v>
      </c>
      <c r="C13" s="5">
        <v>154.79509999999999</v>
      </c>
    </row>
    <row r="14" spans="1:3" x14ac:dyDescent="0.35">
      <c r="A14" s="4">
        <v>40603</v>
      </c>
      <c r="B14" s="5">
        <v>51.463500000000003</v>
      </c>
    </row>
    <row r="15" spans="1:3" x14ac:dyDescent="0.35">
      <c r="A15" s="4">
        <v>40695</v>
      </c>
      <c r="B15" s="5">
        <v>38.734499999999997</v>
      </c>
    </row>
    <row r="16" spans="1:3" x14ac:dyDescent="0.35">
      <c r="A16" s="4">
        <v>40787</v>
      </c>
      <c r="B16" s="5">
        <v>282.09019999999998</v>
      </c>
    </row>
    <row r="17" spans="1:3" x14ac:dyDescent="0.35">
      <c r="A17" s="4">
        <v>40878</v>
      </c>
      <c r="B17" s="5">
        <v>124.97239999999999</v>
      </c>
      <c r="C17" s="5">
        <v>497.26060000000001</v>
      </c>
    </row>
    <row r="18" spans="1:3" x14ac:dyDescent="0.35">
      <c r="A18" s="4">
        <v>40969</v>
      </c>
      <c r="B18" s="5">
        <v>161.93770000000001</v>
      </c>
    </row>
    <row r="19" spans="1:3" x14ac:dyDescent="0.35">
      <c r="A19" s="4">
        <v>41061</v>
      </c>
      <c r="B19" s="5">
        <v>182.078</v>
      </c>
    </row>
    <row r="20" spans="1:3" x14ac:dyDescent="0.35">
      <c r="A20" s="4">
        <v>41153</v>
      </c>
      <c r="B20" s="5">
        <v>34.1081</v>
      </c>
    </row>
    <row r="21" spans="1:3" x14ac:dyDescent="0.35">
      <c r="A21" s="4">
        <v>41244</v>
      </c>
      <c r="B21" s="5">
        <v>94.996200000000002</v>
      </c>
      <c r="C21" s="5">
        <v>473.12</v>
      </c>
    </row>
    <row r="22" spans="1:3" x14ac:dyDescent="0.35">
      <c r="A22" s="4">
        <v>41334</v>
      </c>
      <c r="B22" s="5">
        <v>234.3348</v>
      </c>
    </row>
    <row r="23" spans="1:3" x14ac:dyDescent="0.35">
      <c r="A23" s="4">
        <v>41426</v>
      </c>
      <c r="B23" s="5">
        <v>160.5299</v>
      </c>
    </row>
    <row r="24" spans="1:3" x14ac:dyDescent="0.35">
      <c r="A24" s="4">
        <v>41518</v>
      </c>
      <c r="B24" s="5">
        <v>261.9545</v>
      </c>
    </row>
    <row r="25" spans="1:3" x14ac:dyDescent="0.35">
      <c r="A25" s="4">
        <v>41609</v>
      </c>
      <c r="B25" s="5">
        <v>93.884600000000006</v>
      </c>
      <c r="C25" s="5">
        <v>750.7038</v>
      </c>
    </row>
    <row r="26" spans="1:3" x14ac:dyDescent="0.35">
      <c r="A26" s="4">
        <v>41699</v>
      </c>
      <c r="B26" s="5">
        <v>99.856200000000001</v>
      </c>
    </row>
    <row r="27" spans="1:3" x14ac:dyDescent="0.35">
      <c r="A27" s="4">
        <v>41791</v>
      </c>
      <c r="B27" s="5">
        <v>81.873999999999995</v>
      </c>
    </row>
    <row r="28" spans="1:3" x14ac:dyDescent="0.35">
      <c r="A28" s="4">
        <v>41883</v>
      </c>
      <c r="B28" s="5">
        <v>177.2319</v>
      </c>
    </row>
    <row r="29" spans="1:3" x14ac:dyDescent="0.35">
      <c r="A29" s="4">
        <v>41974</v>
      </c>
      <c r="B29" s="5">
        <v>63.527000000000001</v>
      </c>
      <c r="C29" s="5">
        <v>422.48910000000001</v>
      </c>
    </row>
    <row r="30" spans="1:3" x14ac:dyDescent="0.35">
      <c r="A30" s="4">
        <v>42064</v>
      </c>
      <c r="B30" s="5">
        <v>68.397199999999998</v>
      </c>
    </row>
    <row r="31" spans="1:3" x14ac:dyDescent="0.35">
      <c r="A31" s="4">
        <v>42156</v>
      </c>
      <c r="B31" s="5">
        <v>70.606999999999999</v>
      </c>
    </row>
    <row r="32" spans="1:3" x14ac:dyDescent="0.35">
      <c r="A32" s="4">
        <v>42248</v>
      </c>
      <c r="B32" s="5">
        <v>135.6138</v>
      </c>
    </row>
    <row r="33" spans="1:3" x14ac:dyDescent="0.35">
      <c r="A33" s="4">
        <v>42339</v>
      </c>
      <c r="B33" s="5">
        <v>158.8075</v>
      </c>
      <c r="C33" s="5">
        <v>433.4255</v>
      </c>
    </row>
    <row r="34" spans="1:3" x14ac:dyDescent="0.35">
      <c r="A34" s="4">
        <v>42430</v>
      </c>
      <c r="B34" s="5">
        <v>83.169300000000007</v>
      </c>
    </row>
    <row r="35" spans="1:3" x14ac:dyDescent="0.35">
      <c r="A35" s="4">
        <v>42522</v>
      </c>
      <c r="B35" s="5">
        <v>96.190899999999999</v>
      </c>
    </row>
    <row r="36" spans="1:3" x14ac:dyDescent="0.35">
      <c r="A36" s="4">
        <v>42614</v>
      </c>
      <c r="B36" s="5">
        <v>97.541600000000003</v>
      </c>
    </row>
    <row r="37" spans="1:3" x14ac:dyDescent="0.35">
      <c r="A37" s="4">
        <v>42705</v>
      </c>
      <c r="B37" s="5">
        <v>44.405000000000001</v>
      </c>
      <c r="C37" s="5">
        <v>321.30680000000001</v>
      </c>
    </row>
    <row r="38" spans="1:3" x14ac:dyDescent="0.35">
      <c r="A38" s="4">
        <v>42795</v>
      </c>
      <c r="B38" s="5">
        <v>108.2606</v>
      </c>
    </row>
    <row r="39" spans="1:3" x14ac:dyDescent="0.35">
      <c r="A39" s="4">
        <v>42887</v>
      </c>
      <c r="B39" s="5">
        <v>76.079300000000003</v>
      </c>
    </row>
    <row r="40" spans="1:3" x14ac:dyDescent="0.35">
      <c r="A40" s="4">
        <v>42979</v>
      </c>
      <c r="B40" s="5">
        <v>59.2547</v>
      </c>
    </row>
    <row r="41" spans="1:3" x14ac:dyDescent="0.35">
      <c r="A41" s="4">
        <v>43070</v>
      </c>
      <c r="B41" s="5">
        <v>128.6217</v>
      </c>
      <c r="C41" s="5">
        <v>372.21629999999999</v>
      </c>
    </row>
    <row r="42" spans="1:3" x14ac:dyDescent="0.35">
      <c r="A42" s="4">
        <v>43160</v>
      </c>
      <c r="B42" s="5">
        <v>95.376800000000003</v>
      </c>
    </row>
    <row r="43" spans="1:3" x14ac:dyDescent="0.35">
      <c r="A43" s="4">
        <v>43252</v>
      </c>
      <c r="B43" s="5">
        <v>50.712200000000003</v>
      </c>
    </row>
    <row r="44" spans="1:3" x14ac:dyDescent="0.35">
      <c r="A44" s="4">
        <v>43344</v>
      </c>
      <c r="B44" s="5">
        <v>98.955500000000001</v>
      </c>
    </row>
    <row r="45" spans="1:3" x14ac:dyDescent="0.35">
      <c r="A45" s="4">
        <v>43435</v>
      </c>
      <c r="B45" s="5">
        <v>60.347900000000003</v>
      </c>
      <c r="C45" s="5">
        <v>305.39240000000001</v>
      </c>
    </row>
    <row r="46" spans="1:3" x14ac:dyDescent="0.35">
      <c r="A46" s="4">
        <v>43525</v>
      </c>
      <c r="B46" s="5">
        <v>30.902899999999999</v>
      </c>
    </row>
    <row r="47" spans="1:3" x14ac:dyDescent="0.35">
      <c r="A47" s="4">
        <v>43617</v>
      </c>
      <c r="B47" s="5">
        <v>83.0642</v>
      </c>
    </row>
    <row r="48" spans="1:3" x14ac:dyDescent="0.35">
      <c r="A48" s="4">
        <v>43709</v>
      </c>
      <c r="B48" s="5">
        <v>51.842399999999998</v>
      </c>
    </row>
    <row r="49" spans="1:3" x14ac:dyDescent="0.35">
      <c r="A49" s="4">
        <v>43800</v>
      </c>
      <c r="B49" s="5">
        <v>73.079400000000007</v>
      </c>
      <c r="C49" s="5">
        <v>238.88890000000001</v>
      </c>
    </row>
    <row r="50" spans="1:3" x14ac:dyDescent="0.35">
      <c r="A50" s="4">
        <v>43891</v>
      </c>
      <c r="B50" s="5">
        <v>64.855500000000006</v>
      </c>
    </row>
    <row r="51" spans="1:3" x14ac:dyDescent="0.35">
      <c r="A51" s="4">
        <v>43983</v>
      </c>
      <c r="B51" s="5">
        <v>81.303700000000006</v>
      </c>
    </row>
    <row r="52" spans="1:3" x14ac:dyDescent="0.35">
      <c r="A52" s="4">
        <v>44075</v>
      </c>
      <c r="B52" s="5">
        <v>75.295299999999997</v>
      </c>
    </row>
    <row r="53" spans="1:3" x14ac:dyDescent="0.35">
      <c r="A53" s="4">
        <v>44166</v>
      </c>
      <c r="B53" s="5">
        <v>58.335799999999999</v>
      </c>
      <c r="C53" s="5">
        <v>279.7903</v>
      </c>
    </row>
    <row r="54" spans="1:3" x14ac:dyDescent="0.35">
      <c r="A54" s="4">
        <v>44256</v>
      </c>
      <c r="B54" s="5">
        <v>98.041200000000003</v>
      </c>
    </row>
    <row r="55" spans="1:3" x14ac:dyDescent="0.35">
      <c r="A55" s="4">
        <v>44348</v>
      </c>
      <c r="B55" s="5">
        <v>65.093500000000006</v>
      </c>
    </row>
    <row r="56" spans="1:3" x14ac:dyDescent="0.35">
      <c r="A56" s="4">
        <v>44440</v>
      </c>
      <c r="B56" s="5">
        <v>81.128100000000003</v>
      </c>
    </row>
    <row r="57" spans="1:3" x14ac:dyDescent="0.35">
      <c r="A57" s="4">
        <v>44531</v>
      </c>
      <c r="B57" s="5">
        <v>67.935900000000004</v>
      </c>
      <c r="C57" s="5">
        <v>312.19869999999997</v>
      </c>
    </row>
    <row r="58" spans="1:3" x14ac:dyDescent="0.35">
      <c r="A58" s="4">
        <v>44621</v>
      </c>
      <c r="B58" s="5">
        <v>126.0645</v>
      </c>
    </row>
    <row r="59" spans="1:3" x14ac:dyDescent="0.35">
      <c r="A59" s="4">
        <v>44713</v>
      </c>
      <c r="B59" s="5">
        <v>109.52070000000001</v>
      </c>
    </row>
    <row r="60" spans="1:3" x14ac:dyDescent="0.35">
      <c r="A60" s="4">
        <v>44805</v>
      </c>
      <c r="B60" s="5">
        <v>285.06720000000001</v>
      </c>
    </row>
    <row r="61" spans="1:3" x14ac:dyDescent="0.35">
      <c r="A61" s="4">
        <v>44896</v>
      </c>
      <c r="B61" s="5">
        <v>137.64160000000001</v>
      </c>
      <c r="C61" s="5">
        <v>658.29399999999998</v>
      </c>
    </row>
    <row r="62" spans="1:3" x14ac:dyDescent="0.35">
      <c r="A62" s="4">
        <v>44986</v>
      </c>
      <c r="B62" s="5">
        <v>114.1683</v>
      </c>
    </row>
    <row r="63" spans="1:3" x14ac:dyDescent="0.35">
      <c r="A63" s="4">
        <v>45078</v>
      </c>
      <c r="B63" s="5">
        <v>130.0309</v>
      </c>
    </row>
    <row r="64" spans="1:3" x14ac:dyDescent="0.35">
      <c r="A64" s="4">
        <v>45170</v>
      </c>
      <c r="B64" s="5">
        <v>81.634799999999998</v>
      </c>
    </row>
    <row r="65" spans="1:3" x14ac:dyDescent="0.35">
      <c r="A65" s="4">
        <v>45261</v>
      </c>
      <c r="B65" s="5">
        <v>131.70349999999999</v>
      </c>
      <c r="C65" s="5">
        <v>457.53750000000002</v>
      </c>
    </row>
    <row r="66" spans="1:3" x14ac:dyDescent="0.35">
      <c r="A66" s="4">
        <v>45352</v>
      </c>
      <c r="B66" s="5">
        <v>194.28729999999999</v>
      </c>
    </row>
    <row r="67" spans="1:3" x14ac:dyDescent="0.35">
      <c r="A67" s="4">
        <v>45444</v>
      </c>
      <c r="B67" s="5">
        <v>206.07599999999999</v>
      </c>
    </row>
    <row r="68" spans="1:3" x14ac:dyDescent="0.35">
      <c r="A68" s="4">
        <v>45536</v>
      </c>
      <c r="B68" s="5">
        <v>248.3493</v>
      </c>
    </row>
    <row r="69" spans="1:3" x14ac:dyDescent="0.35">
      <c r="A69" s="4">
        <v>45627</v>
      </c>
      <c r="B69" s="5">
        <v>299.14960000000002</v>
      </c>
      <c r="C69" s="5">
        <v>947.86220000000003</v>
      </c>
    </row>
    <row r="70" spans="1:3" x14ac:dyDescent="0.35">
      <c r="A70" s="4">
        <v>45717</v>
      </c>
      <c r="B70" s="5">
        <v>225.23044999999999</v>
      </c>
    </row>
    <row r="71" spans="1:3" x14ac:dyDescent="0.35">
      <c r="A71" s="4">
        <v>45809</v>
      </c>
      <c r="B71" s="5">
        <v>144.9613569</v>
      </c>
    </row>
    <row r="72" spans="1:3" x14ac:dyDescent="0.35">
      <c r="A72" s="4">
        <v>45901</v>
      </c>
      <c r="B72" s="5">
        <v>192.71126082999999</v>
      </c>
    </row>
    <row r="73" spans="1:3" x14ac:dyDescent="0.35">
      <c r="A73" s="4">
        <v>45992</v>
      </c>
      <c r="B73" s="5">
        <v>125.85223302999999</v>
      </c>
      <c r="C73" s="5">
        <v>688.75530075999995</v>
      </c>
    </row>
    <row r="74" spans="1:3" x14ac:dyDescent="0.35">
      <c r="A74" s="4">
        <v>46082</v>
      </c>
      <c r="B74" s="5">
        <v>187.28626682000001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C2B2-A989-4C08-8636-5CEE65D5C5EC}">
  <dimension ref="A1:C74"/>
  <sheetViews>
    <sheetView workbookViewId="0"/>
  </sheetViews>
  <sheetFormatPr defaultRowHeight="14.5" x14ac:dyDescent="0.35"/>
  <sheetData>
    <row r="1" spans="1:3" x14ac:dyDescent="0.35">
      <c r="A1" s="1" t="str">
        <f>_xll.CEIC.Link("ea3a8ca3-abca-4e7a-b866-07829eb7712a", "Series")</f>
        <v>Select this link and click Refresh/Edit Download to update data and add or remove series</v>
      </c>
      <c r="B1" s="2" t="s">
        <v>11</v>
      </c>
      <c r="C1" s="2" t="s">
        <v>11</v>
      </c>
    </row>
    <row r="2" spans="1:3" x14ac:dyDescent="0.35">
      <c r="A2" s="2" t="s">
        <v>1</v>
      </c>
      <c r="B2" s="2" t="s">
        <v>2</v>
      </c>
      <c r="C2" s="2" t="s">
        <v>2</v>
      </c>
    </row>
    <row r="3" spans="1:3" x14ac:dyDescent="0.35">
      <c r="A3" s="2" t="s">
        <v>3</v>
      </c>
      <c r="B3" s="2" t="s">
        <v>12</v>
      </c>
      <c r="C3" s="2" t="s">
        <v>12</v>
      </c>
    </row>
    <row r="4" spans="1:3" x14ac:dyDescent="0.35">
      <c r="A4" s="2" t="s">
        <v>5</v>
      </c>
      <c r="B4" s="2" t="s">
        <v>6</v>
      </c>
      <c r="C4" s="2" t="s">
        <v>6</v>
      </c>
    </row>
    <row r="5" spans="1:3" x14ac:dyDescent="0.35">
      <c r="A5" s="3" t="s">
        <v>7</v>
      </c>
      <c r="B5" s="3" t="s">
        <v>13</v>
      </c>
      <c r="C5" s="3" t="s">
        <v>13</v>
      </c>
    </row>
    <row r="6" spans="1:3" x14ac:dyDescent="0.35">
      <c r="A6" s="4">
        <v>39873</v>
      </c>
      <c r="B6" s="5">
        <v>190.32089999999999</v>
      </c>
    </row>
    <row r="7" spans="1:3" x14ac:dyDescent="0.35">
      <c r="A7" s="4">
        <v>39965</v>
      </c>
      <c r="B7" s="5">
        <v>1534.8</v>
      </c>
    </row>
    <row r="8" spans="1:3" x14ac:dyDescent="0.35">
      <c r="A8" s="4">
        <v>40057</v>
      </c>
      <c r="B8" s="5">
        <v>632.72460000000001</v>
      </c>
    </row>
    <row r="9" spans="1:3" x14ac:dyDescent="0.35">
      <c r="A9" s="4">
        <v>40148</v>
      </c>
      <c r="B9" s="5">
        <v>282.87200000000001</v>
      </c>
      <c r="C9" s="5">
        <v>2640.7175000000002</v>
      </c>
    </row>
    <row r="10" spans="1:3" x14ac:dyDescent="0.35">
      <c r="A10" s="4">
        <v>40238</v>
      </c>
      <c r="B10" s="5">
        <v>5.0999999999999996</v>
      </c>
    </row>
    <row r="11" spans="1:3" x14ac:dyDescent="0.35">
      <c r="A11" s="4">
        <v>40330</v>
      </c>
      <c r="B11" s="5">
        <v>111.43259999999999</v>
      </c>
    </row>
    <row r="12" spans="1:3" x14ac:dyDescent="0.35">
      <c r="A12" s="4">
        <v>40422</v>
      </c>
      <c r="B12" s="5">
        <v>210.0874</v>
      </c>
    </row>
    <row r="13" spans="1:3" x14ac:dyDescent="0.35">
      <c r="A13" s="4">
        <v>40513</v>
      </c>
      <c r="B13" s="5">
        <v>69.66</v>
      </c>
      <c r="C13" s="5">
        <v>396.28</v>
      </c>
    </row>
    <row r="14" spans="1:3" x14ac:dyDescent="0.35">
      <c r="A14" s="4">
        <v>40603</v>
      </c>
      <c r="B14" s="5">
        <v>230.79159999999999</v>
      </c>
    </row>
    <row r="15" spans="1:3" x14ac:dyDescent="0.35">
      <c r="A15" s="4">
        <v>40695</v>
      </c>
      <c r="B15" s="5">
        <v>80.646799999999999</v>
      </c>
    </row>
    <row r="16" spans="1:3" x14ac:dyDescent="0.35">
      <c r="A16" s="4">
        <v>40787</v>
      </c>
      <c r="B16" s="5">
        <v>389.02249999999998</v>
      </c>
    </row>
    <row r="17" spans="1:3" x14ac:dyDescent="0.35">
      <c r="A17" s="4">
        <v>40878</v>
      </c>
      <c r="B17" s="5">
        <v>298.7303</v>
      </c>
      <c r="C17" s="5">
        <v>999.19119999999998</v>
      </c>
    </row>
    <row r="18" spans="1:3" x14ac:dyDescent="0.35">
      <c r="A18" s="4">
        <v>40969</v>
      </c>
      <c r="B18" s="5">
        <v>216.43969999999999</v>
      </c>
    </row>
    <row r="19" spans="1:3" x14ac:dyDescent="0.35">
      <c r="A19" s="4">
        <v>41061</v>
      </c>
      <c r="B19" s="5">
        <v>400.34070000000003</v>
      </c>
    </row>
    <row r="20" spans="1:3" x14ac:dyDescent="0.35">
      <c r="A20" s="4">
        <v>41153</v>
      </c>
      <c r="B20" s="5">
        <v>2630.4110000000001</v>
      </c>
    </row>
    <row r="21" spans="1:3" x14ac:dyDescent="0.35">
      <c r="A21" s="4">
        <v>41244</v>
      </c>
      <c r="B21" s="5">
        <v>1203.7195999999999</v>
      </c>
      <c r="C21" s="5">
        <v>4450.9110000000001</v>
      </c>
    </row>
    <row r="22" spans="1:3" x14ac:dyDescent="0.35">
      <c r="A22" s="4">
        <v>41334</v>
      </c>
      <c r="B22" s="5">
        <v>811.85260000000005</v>
      </c>
    </row>
    <row r="23" spans="1:3" x14ac:dyDescent="0.35">
      <c r="A23" s="4">
        <v>41426</v>
      </c>
      <c r="B23" s="5">
        <v>174.5223</v>
      </c>
    </row>
    <row r="24" spans="1:3" x14ac:dyDescent="0.35">
      <c r="A24" s="4">
        <v>41518</v>
      </c>
      <c r="B24" s="5">
        <v>278.34930000000003</v>
      </c>
    </row>
    <row r="25" spans="1:3" x14ac:dyDescent="0.35">
      <c r="A25" s="4">
        <v>41609</v>
      </c>
      <c r="B25" s="5">
        <v>1181.2003999999999</v>
      </c>
      <c r="C25" s="5">
        <v>2445.9245999999998</v>
      </c>
    </row>
    <row r="26" spans="1:3" x14ac:dyDescent="0.35">
      <c r="A26" s="4">
        <v>41699</v>
      </c>
      <c r="B26" s="5">
        <v>362.7636</v>
      </c>
    </row>
    <row r="27" spans="1:3" x14ac:dyDescent="0.35">
      <c r="A27" s="4">
        <v>41791</v>
      </c>
      <c r="B27" s="5">
        <v>190.43549999999999</v>
      </c>
    </row>
    <row r="28" spans="1:3" x14ac:dyDescent="0.35">
      <c r="A28" s="4">
        <v>41883</v>
      </c>
      <c r="B28" s="5">
        <v>333.91840000000002</v>
      </c>
    </row>
    <row r="29" spans="1:3" x14ac:dyDescent="0.35">
      <c r="A29" s="4">
        <v>41974</v>
      </c>
      <c r="B29" s="5">
        <v>564.33799999999997</v>
      </c>
      <c r="C29" s="5">
        <v>1451.4555</v>
      </c>
    </row>
    <row r="30" spans="1:3" x14ac:dyDescent="0.35">
      <c r="A30" s="4">
        <v>42064</v>
      </c>
      <c r="B30" s="5">
        <v>455.05009999999999</v>
      </c>
    </row>
    <row r="31" spans="1:3" x14ac:dyDescent="0.35">
      <c r="A31" s="4">
        <v>42156</v>
      </c>
      <c r="B31" s="5">
        <v>1688.7483999999999</v>
      </c>
    </row>
    <row r="32" spans="1:3" x14ac:dyDescent="0.35">
      <c r="A32" s="4">
        <v>42248</v>
      </c>
      <c r="B32" s="5">
        <v>273.58539999999999</v>
      </c>
    </row>
    <row r="33" spans="1:3" x14ac:dyDescent="0.35">
      <c r="A33" s="4">
        <v>42339</v>
      </c>
      <c r="B33" s="5">
        <v>307.1259</v>
      </c>
      <c r="C33" s="5">
        <v>2724.5097999999998</v>
      </c>
    </row>
    <row r="34" spans="1:3" x14ac:dyDescent="0.35">
      <c r="A34" s="4">
        <v>42430</v>
      </c>
      <c r="B34" s="5">
        <v>2493.3440999999998</v>
      </c>
    </row>
    <row r="35" spans="1:3" x14ac:dyDescent="0.35">
      <c r="A35" s="4">
        <v>42522</v>
      </c>
      <c r="B35" s="5">
        <v>225.88040000000001</v>
      </c>
    </row>
    <row r="36" spans="1:3" x14ac:dyDescent="0.35">
      <c r="A36" s="4">
        <v>42614</v>
      </c>
      <c r="B36" s="5">
        <v>158.43289999999999</v>
      </c>
    </row>
    <row r="37" spans="1:3" x14ac:dyDescent="0.35">
      <c r="A37" s="4">
        <v>42705</v>
      </c>
      <c r="B37" s="5">
        <v>332.14319999999998</v>
      </c>
      <c r="C37" s="5">
        <v>3209.8006</v>
      </c>
    </row>
    <row r="38" spans="1:3" x14ac:dyDescent="0.35">
      <c r="A38" s="4">
        <v>42795</v>
      </c>
      <c r="B38" s="5">
        <v>1954.0282999999999</v>
      </c>
    </row>
    <row r="39" spans="1:3" x14ac:dyDescent="0.35">
      <c r="A39" s="4">
        <v>42887</v>
      </c>
      <c r="B39" s="5">
        <v>3074.5418</v>
      </c>
    </row>
    <row r="40" spans="1:3" x14ac:dyDescent="0.35">
      <c r="A40" s="4">
        <v>42979</v>
      </c>
      <c r="B40" s="5">
        <v>1939.5725</v>
      </c>
    </row>
    <row r="41" spans="1:3" x14ac:dyDescent="0.35">
      <c r="A41" s="4">
        <v>43070</v>
      </c>
      <c r="B41" s="5">
        <v>895.05740000000003</v>
      </c>
      <c r="C41" s="5">
        <v>7863.2</v>
      </c>
    </row>
    <row r="42" spans="1:3" x14ac:dyDescent="0.35">
      <c r="A42" s="4">
        <v>43160</v>
      </c>
      <c r="B42" s="5">
        <v>380.8372</v>
      </c>
    </row>
    <row r="43" spans="1:3" x14ac:dyDescent="0.35">
      <c r="A43" s="4">
        <v>43252</v>
      </c>
      <c r="B43" s="5">
        <v>2314.4802</v>
      </c>
    </row>
    <row r="44" spans="1:3" x14ac:dyDescent="0.35">
      <c r="A44" s="4">
        <v>43344</v>
      </c>
      <c r="B44" s="5">
        <v>584.51049999999998</v>
      </c>
    </row>
    <row r="45" spans="1:3" x14ac:dyDescent="0.35">
      <c r="A45" s="4">
        <v>43435</v>
      </c>
      <c r="B45" s="5">
        <v>316.94159999999999</v>
      </c>
      <c r="C45" s="5">
        <v>3596.7694999999999</v>
      </c>
    </row>
    <row r="46" spans="1:3" x14ac:dyDescent="0.35">
      <c r="A46" s="4">
        <v>43525</v>
      </c>
      <c r="B46" s="5">
        <v>259.29090000000002</v>
      </c>
    </row>
    <row r="47" spans="1:3" x14ac:dyDescent="0.35">
      <c r="A47" s="4">
        <v>43617</v>
      </c>
      <c r="B47" s="5">
        <v>662.68259999999998</v>
      </c>
    </row>
    <row r="48" spans="1:3" x14ac:dyDescent="0.35">
      <c r="A48" s="4">
        <v>43709</v>
      </c>
      <c r="B48" s="5">
        <v>99.733800000000002</v>
      </c>
    </row>
    <row r="49" spans="1:3" x14ac:dyDescent="0.35">
      <c r="A49" s="4">
        <v>43800</v>
      </c>
      <c r="B49" s="5">
        <v>290.88740000000001</v>
      </c>
      <c r="C49" s="5">
        <v>1312.5947000000001</v>
      </c>
    </row>
    <row r="50" spans="1:3" x14ac:dyDescent="0.35">
      <c r="A50" s="4">
        <v>43891</v>
      </c>
      <c r="B50" s="5">
        <v>61.283000000000001</v>
      </c>
    </row>
    <row r="51" spans="1:3" x14ac:dyDescent="0.35">
      <c r="A51" s="4">
        <v>43983</v>
      </c>
      <c r="B51" s="5">
        <v>589.78650000000005</v>
      </c>
    </row>
    <row r="52" spans="1:3" x14ac:dyDescent="0.35">
      <c r="A52" s="4">
        <v>44075</v>
      </c>
      <c r="B52" s="5">
        <v>669.65940000000001</v>
      </c>
    </row>
    <row r="53" spans="1:3" x14ac:dyDescent="0.35">
      <c r="A53" s="4">
        <v>44166</v>
      </c>
      <c r="B53" s="5">
        <v>782.48469999999998</v>
      </c>
      <c r="C53" s="5">
        <v>2103.2136</v>
      </c>
    </row>
    <row r="54" spans="1:3" x14ac:dyDescent="0.35">
      <c r="A54" s="4">
        <v>44256</v>
      </c>
      <c r="B54" s="5">
        <v>813.28510000000006</v>
      </c>
    </row>
    <row r="55" spans="1:3" x14ac:dyDescent="0.35">
      <c r="A55" s="4">
        <v>44348</v>
      </c>
      <c r="B55" s="5">
        <v>345.416</v>
      </c>
    </row>
    <row r="56" spans="1:3" x14ac:dyDescent="0.35">
      <c r="A56" s="4">
        <v>44440</v>
      </c>
      <c r="B56" s="5">
        <v>376.80709999999999</v>
      </c>
    </row>
    <row r="57" spans="1:3" x14ac:dyDescent="0.35">
      <c r="A57" s="4">
        <v>44531</v>
      </c>
      <c r="B57" s="5">
        <v>436.9239</v>
      </c>
      <c r="C57" s="5">
        <v>1972.4321</v>
      </c>
    </row>
    <row r="58" spans="1:3" x14ac:dyDescent="0.35">
      <c r="A58" s="4">
        <v>44621</v>
      </c>
      <c r="B58" s="5">
        <v>587.92930000000001</v>
      </c>
    </row>
    <row r="59" spans="1:3" x14ac:dyDescent="0.35">
      <c r="A59" s="4">
        <v>44713</v>
      </c>
      <c r="B59" s="5">
        <v>2008.3901000000001</v>
      </c>
    </row>
    <row r="60" spans="1:3" x14ac:dyDescent="0.35">
      <c r="A60" s="4">
        <v>44805</v>
      </c>
      <c r="B60" s="5">
        <v>1412.3431</v>
      </c>
    </row>
    <row r="61" spans="1:3" x14ac:dyDescent="0.35">
      <c r="A61" s="4">
        <v>44896</v>
      </c>
      <c r="B61" s="5">
        <v>1606.0508</v>
      </c>
      <c r="C61" s="5">
        <v>5614.7133000000003</v>
      </c>
    </row>
    <row r="62" spans="1:3" x14ac:dyDescent="0.35">
      <c r="A62" s="4">
        <v>44986</v>
      </c>
      <c r="B62" s="5">
        <v>2947.0374999999999</v>
      </c>
    </row>
    <row r="63" spans="1:3" x14ac:dyDescent="0.35">
      <c r="A63" s="4">
        <v>45078</v>
      </c>
      <c r="B63" s="5">
        <v>1702.1958999999999</v>
      </c>
    </row>
    <row r="64" spans="1:3" x14ac:dyDescent="0.35">
      <c r="A64" s="4">
        <v>45170</v>
      </c>
      <c r="B64" s="5">
        <v>1854.3281999999999</v>
      </c>
    </row>
    <row r="65" spans="1:3" x14ac:dyDescent="0.35">
      <c r="A65" s="4">
        <v>45261</v>
      </c>
      <c r="B65" s="5">
        <v>1446.2022999999999</v>
      </c>
      <c r="C65" s="5">
        <v>7949.7638999999999</v>
      </c>
    </row>
    <row r="66" spans="1:3" x14ac:dyDescent="0.35">
      <c r="A66" s="4">
        <v>45352</v>
      </c>
      <c r="B66" s="5">
        <v>1713.6188</v>
      </c>
    </row>
    <row r="67" spans="1:3" x14ac:dyDescent="0.35">
      <c r="A67" s="4">
        <v>45444</v>
      </c>
      <c r="B67" s="5">
        <v>1777.1519000000001</v>
      </c>
    </row>
    <row r="68" spans="1:3" x14ac:dyDescent="0.35">
      <c r="A68" s="4">
        <v>45536</v>
      </c>
      <c r="B68" s="5">
        <v>2001.7792999999999</v>
      </c>
    </row>
    <row r="69" spans="1:3" x14ac:dyDescent="0.35">
      <c r="A69" s="4">
        <v>45627</v>
      </c>
      <c r="B69" s="5">
        <v>1725.0796</v>
      </c>
      <c r="C69" s="5">
        <v>7217.6296000000002</v>
      </c>
    </row>
    <row r="70" spans="1:3" x14ac:dyDescent="0.35">
      <c r="A70" s="4">
        <v>45717</v>
      </c>
      <c r="B70" s="5">
        <v>1793.60440868</v>
      </c>
    </row>
    <row r="71" spans="1:3" x14ac:dyDescent="0.35">
      <c r="A71" s="4">
        <v>45809</v>
      </c>
      <c r="B71" s="5">
        <v>2501.1735036800001</v>
      </c>
    </row>
    <row r="72" spans="1:3" x14ac:dyDescent="0.35">
      <c r="A72" s="4">
        <v>45901</v>
      </c>
      <c r="B72" s="5">
        <v>2810.9425691400002</v>
      </c>
    </row>
    <row r="73" spans="1:3" x14ac:dyDescent="0.35">
      <c r="A73" s="4">
        <v>45992</v>
      </c>
      <c r="B73" s="5">
        <v>2100.3500866099998</v>
      </c>
      <c r="C73" s="5">
        <v>9206.0705681100007</v>
      </c>
    </row>
    <row r="74" spans="1:3" x14ac:dyDescent="0.35">
      <c r="A74" s="4">
        <v>46082</v>
      </c>
      <c r="B74" s="5">
        <v>2018.9280477299999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51043-B4A5-48E5-B164-99F02316B4A8}">
  <dimension ref="A1:C17"/>
  <sheetViews>
    <sheetView topLeftCell="A7" workbookViewId="0">
      <selection activeCell="G13" sqref="G13"/>
    </sheetView>
  </sheetViews>
  <sheetFormatPr defaultRowHeight="14.5" x14ac:dyDescent="0.35"/>
  <sheetData>
    <row r="1" spans="1:3" x14ac:dyDescent="0.35">
      <c r="A1" s="1" t="str">
        <f>_xll.CEIC.Link("899a3eed-6421-4e9b-826d-01f18c24823b", "Series")</f>
        <v>Select this link and click Refresh/Edit Download to update data and add or remove series</v>
      </c>
      <c r="B1" s="6" t="s">
        <v>14</v>
      </c>
      <c r="C1" s="6" t="s">
        <v>14</v>
      </c>
    </row>
    <row r="2" spans="1:3" x14ac:dyDescent="0.35">
      <c r="A2" s="2" t="s">
        <v>1</v>
      </c>
      <c r="B2" s="6" t="s">
        <v>2</v>
      </c>
      <c r="C2" s="6" t="s">
        <v>2</v>
      </c>
    </row>
    <row r="3" spans="1:3" x14ac:dyDescent="0.35">
      <c r="A3" s="2" t="s">
        <v>3</v>
      </c>
      <c r="B3" s="6" t="s">
        <v>12</v>
      </c>
      <c r="C3" s="6" t="s">
        <v>12</v>
      </c>
    </row>
    <row r="4" spans="1:3" x14ac:dyDescent="0.35">
      <c r="A4" s="2" t="s">
        <v>5</v>
      </c>
      <c r="B4" s="6" t="s">
        <v>6</v>
      </c>
      <c r="C4" s="6" t="s">
        <v>6</v>
      </c>
    </row>
    <row r="5" spans="1:3" x14ac:dyDescent="0.35">
      <c r="A5" s="3" t="s">
        <v>7</v>
      </c>
      <c r="B5" s="7" t="s">
        <v>15</v>
      </c>
      <c r="C5" s="7" t="s">
        <v>15</v>
      </c>
    </row>
    <row r="6" spans="1:3" x14ac:dyDescent="0.35">
      <c r="A6" s="4">
        <v>39814</v>
      </c>
      <c r="B6" s="8">
        <v>0</v>
      </c>
    </row>
    <row r="7" spans="1:3" x14ac:dyDescent="0.35">
      <c r="A7" s="4">
        <v>39845</v>
      </c>
      <c r="B7" s="8">
        <v>0</v>
      </c>
    </row>
    <row r="8" spans="1:3" x14ac:dyDescent="0.35">
      <c r="A8" s="4">
        <v>39873</v>
      </c>
      <c r="B8" s="8">
        <v>0</v>
      </c>
    </row>
    <row r="9" spans="1:3" x14ac:dyDescent="0.35">
      <c r="A9" s="4">
        <v>39904</v>
      </c>
      <c r="B9" s="8">
        <v>4</v>
      </c>
    </row>
    <row r="10" spans="1:3" x14ac:dyDescent="0.35">
      <c r="A10" s="4">
        <v>39934</v>
      </c>
      <c r="B10" s="8">
        <v>0</v>
      </c>
    </row>
    <row r="11" spans="1:3" x14ac:dyDescent="0.35">
      <c r="A11" s="4">
        <v>39965</v>
      </c>
      <c r="B11" s="8">
        <v>0</v>
      </c>
    </row>
    <row r="12" spans="1:3" x14ac:dyDescent="0.35">
      <c r="A12" s="4">
        <v>39995</v>
      </c>
      <c r="B12" s="8">
        <v>0</v>
      </c>
    </row>
    <row r="13" spans="1:3" x14ac:dyDescent="0.35">
      <c r="A13" s="4">
        <v>40026</v>
      </c>
      <c r="B13" s="8">
        <v>0</v>
      </c>
    </row>
    <row r="14" spans="1:3" x14ac:dyDescent="0.35">
      <c r="A14" s="4">
        <v>40057</v>
      </c>
      <c r="B14" s="8">
        <v>0</v>
      </c>
    </row>
    <row r="15" spans="1:3" x14ac:dyDescent="0.35">
      <c r="A15" s="4">
        <v>40087</v>
      </c>
      <c r="B15" s="8">
        <v>0</v>
      </c>
    </row>
    <row r="16" spans="1:3" x14ac:dyDescent="0.35">
      <c r="A16" s="4">
        <v>40118</v>
      </c>
      <c r="B16" s="8">
        <v>0</v>
      </c>
    </row>
    <row r="17" spans="1:3" x14ac:dyDescent="0.35">
      <c r="A17" s="4">
        <v>40148</v>
      </c>
      <c r="B17" s="8">
        <v>0</v>
      </c>
      <c r="C17" s="8">
        <v>4</v>
      </c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2FC99-75AE-4E13-B8EB-4CBB74C1B711}">
  <dimension ref="A1:C74"/>
  <sheetViews>
    <sheetView workbookViewId="0"/>
  </sheetViews>
  <sheetFormatPr defaultRowHeight="14.5" x14ac:dyDescent="0.35"/>
  <sheetData>
    <row r="1" spans="1:3" x14ac:dyDescent="0.35">
      <c r="A1" s="1" t="str">
        <f>_xll.CEIC.Link("e2b1dd08-3d48-4d12-8418-9d846c352e54", "Series")</f>
        <v>Select this link and click Refresh/Edit Download to update data and add or remove series</v>
      </c>
      <c r="B1" s="2" t="s">
        <v>17</v>
      </c>
      <c r="C1" s="2" t="s">
        <v>17</v>
      </c>
    </row>
    <row r="2" spans="1:3" x14ac:dyDescent="0.35">
      <c r="A2" s="2" t="s">
        <v>1</v>
      </c>
      <c r="B2" s="2" t="s">
        <v>2</v>
      </c>
      <c r="C2" s="2" t="s">
        <v>2</v>
      </c>
    </row>
    <row r="3" spans="1:3" x14ac:dyDescent="0.35">
      <c r="A3" s="2" t="s">
        <v>3</v>
      </c>
      <c r="B3" s="2" t="s">
        <v>12</v>
      </c>
      <c r="C3" s="2" t="s">
        <v>12</v>
      </c>
    </row>
    <row r="4" spans="1:3" x14ac:dyDescent="0.35">
      <c r="A4" s="2" t="s">
        <v>5</v>
      </c>
      <c r="B4" s="2" t="s">
        <v>6</v>
      </c>
      <c r="C4" s="2" t="s">
        <v>6</v>
      </c>
    </row>
    <row r="5" spans="1:3" x14ac:dyDescent="0.35">
      <c r="A5" s="3" t="s">
        <v>7</v>
      </c>
      <c r="B5" s="3" t="s">
        <v>18</v>
      </c>
      <c r="C5" s="3" t="s">
        <v>18</v>
      </c>
    </row>
    <row r="6" spans="1:3" x14ac:dyDescent="0.35">
      <c r="A6" s="4">
        <v>39873</v>
      </c>
    </row>
    <row r="7" spans="1:3" x14ac:dyDescent="0.35">
      <c r="A7" s="4">
        <v>39965</v>
      </c>
      <c r="B7" s="5">
        <v>14.17</v>
      </c>
    </row>
    <row r="8" spans="1:3" x14ac:dyDescent="0.35">
      <c r="A8" s="4">
        <v>40057</v>
      </c>
    </row>
    <row r="9" spans="1:3" x14ac:dyDescent="0.35">
      <c r="A9" s="4">
        <v>40148</v>
      </c>
      <c r="B9" s="5">
        <v>1.2284999999999999</v>
      </c>
      <c r="C9" s="5">
        <v>15.3985</v>
      </c>
    </row>
    <row r="10" spans="1:3" x14ac:dyDescent="0.35">
      <c r="A10" s="4">
        <v>40238</v>
      </c>
    </row>
    <row r="11" spans="1:3" x14ac:dyDescent="0.35">
      <c r="A11" s="4">
        <v>40330</v>
      </c>
    </row>
    <row r="12" spans="1:3" x14ac:dyDescent="0.35">
      <c r="A12" s="4">
        <v>40422</v>
      </c>
    </row>
    <row r="13" spans="1:3" x14ac:dyDescent="0.35">
      <c r="A13" s="4">
        <v>40513</v>
      </c>
      <c r="B13" s="5">
        <v>12.5222</v>
      </c>
      <c r="C13" s="5">
        <v>12.5222</v>
      </c>
    </row>
    <row r="14" spans="1:3" x14ac:dyDescent="0.35">
      <c r="A14" s="4">
        <v>40603</v>
      </c>
    </row>
    <row r="15" spans="1:3" x14ac:dyDescent="0.35">
      <c r="A15" s="4">
        <v>40695</v>
      </c>
      <c r="B15" s="5">
        <v>13.244300000000001</v>
      </c>
    </row>
    <row r="16" spans="1:3" x14ac:dyDescent="0.35">
      <c r="A16" s="4">
        <v>40787</v>
      </c>
    </row>
    <row r="17" spans="1:3" x14ac:dyDescent="0.35">
      <c r="A17" s="4">
        <v>40878</v>
      </c>
      <c r="B17" s="5">
        <v>0.26479999999999998</v>
      </c>
      <c r="C17" s="5">
        <v>13.5091</v>
      </c>
    </row>
    <row r="18" spans="1:3" x14ac:dyDescent="0.35">
      <c r="A18" s="4">
        <v>40969</v>
      </c>
      <c r="B18" s="5">
        <v>15.919</v>
      </c>
    </row>
    <row r="19" spans="1:3" x14ac:dyDescent="0.35">
      <c r="A19" s="4">
        <v>41061</v>
      </c>
      <c r="B19" s="5">
        <v>4.4097</v>
      </c>
    </row>
    <row r="20" spans="1:3" x14ac:dyDescent="0.35">
      <c r="A20" s="4">
        <v>41153</v>
      </c>
      <c r="B20" s="5">
        <v>42.535299999999999</v>
      </c>
    </row>
    <row r="21" spans="1:3" x14ac:dyDescent="0.35">
      <c r="A21" s="4">
        <v>41244</v>
      </c>
      <c r="B21" s="5">
        <v>13.814500000000001</v>
      </c>
      <c r="C21" s="5">
        <v>76.6785</v>
      </c>
    </row>
    <row r="22" spans="1:3" x14ac:dyDescent="0.35">
      <c r="A22" s="4">
        <v>41334</v>
      </c>
    </row>
    <row r="23" spans="1:3" x14ac:dyDescent="0.35">
      <c r="A23" s="4">
        <v>41426</v>
      </c>
      <c r="B23" s="5">
        <v>0.1</v>
      </c>
    </row>
    <row r="24" spans="1:3" x14ac:dyDescent="0.35">
      <c r="A24" s="4">
        <v>41518</v>
      </c>
      <c r="B24" s="5">
        <v>0.29730000000000001</v>
      </c>
    </row>
    <row r="25" spans="1:3" x14ac:dyDescent="0.35">
      <c r="A25" s="4">
        <v>41609</v>
      </c>
      <c r="B25" s="5">
        <v>79.699399999999997</v>
      </c>
      <c r="C25" s="5">
        <v>80.096699999999998</v>
      </c>
    </row>
    <row r="26" spans="1:3" x14ac:dyDescent="0.35">
      <c r="A26" s="4">
        <v>41699</v>
      </c>
      <c r="B26" s="5">
        <v>67.259399999999999</v>
      </c>
    </row>
    <row r="27" spans="1:3" x14ac:dyDescent="0.35">
      <c r="A27" s="4">
        <v>41791</v>
      </c>
    </row>
    <row r="28" spans="1:3" x14ac:dyDescent="0.35">
      <c r="A28" s="4">
        <v>41883</v>
      </c>
      <c r="B28" s="5">
        <v>35.820300000000003</v>
      </c>
    </row>
    <row r="29" spans="1:3" x14ac:dyDescent="0.35">
      <c r="A29" s="4">
        <v>41974</v>
      </c>
      <c r="C29" s="5">
        <v>103.0797</v>
      </c>
    </row>
    <row r="30" spans="1:3" x14ac:dyDescent="0.35">
      <c r="A30" s="4">
        <v>42064</v>
      </c>
    </row>
    <row r="31" spans="1:3" x14ac:dyDescent="0.35">
      <c r="A31" s="4">
        <v>42156</v>
      </c>
      <c r="B31" s="5">
        <v>5.4039999999999999</v>
      </c>
    </row>
    <row r="32" spans="1:3" x14ac:dyDescent="0.35">
      <c r="A32" s="4">
        <v>42248</v>
      </c>
    </row>
    <row r="33" spans="1:3" x14ac:dyDescent="0.35">
      <c r="A33" s="4">
        <v>42339</v>
      </c>
      <c r="C33" s="5">
        <v>5.4039999999999999</v>
      </c>
    </row>
    <row r="34" spans="1:3" x14ac:dyDescent="0.35">
      <c r="A34" s="4">
        <v>42430</v>
      </c>
    </row>
    <row r="35" spans="1:3" x14ac:dyDescent="0.35">
      <c r="A35" s="4">
        <v>42522</v>
      </c>
      <c r="B35" s="5">
        <v>1.03E-2</v>
      </c>
    </row>
    <row r="36" spans="1:3" x14ac:dyDescent="0.35">
      <c r="A36" s="4">
        <v>42614</v>
      </c>
      <c r="B36" s="5">
        <v>69.101399999999998</v>
      </c>
    </row>
    <row r="37" spans="1:3" x14ac:dyDescent="0.35">
      <c r="A37" s="4">
        <v>42705</v>
      </c>
      <c r="C37" s="5">
        <v>69.111699999999999</v>
      </c>
    </row>
    <row r="38" spans="1:3" x14ac:dyDescent="0.35">
      <c r="A38" s="4">
        <v>42795</v>
      </c>
      <c r="B38" s="5">
        <v>13.327400000000001</v>
      </c>
    </row>
    <row r="39" spans="1:3" x14ac:dyDescent="0.35">
      <c r="A39" s="4">
        <v>42887</v>
      </c>
      <c r="B39" s="5">
        <v>86.394300000000001</v>
      </c>
    </row>
    <row r="40" spans="1:3" x14ac:dyDescent="0.35">
      <c r="A40" s="4">
        <v>42979</v>
      </c>
      <c r="B40" s="5">
        <v>4.68</v>
      </c>
    </row>
    <row r="41" spans="1:3" x14ac:dyDescent="0.35">
      <c r="A41" s="4">
        <v>43070</v>
      </c>
      <c r="B41" s="5">
        <v>91.428299999999993</v>
      </c>
      <c r="C41" s="5">
        <v>195.83</v>
      </c>
    </row>
    <row r="42" spans="1:3" x14ac:dyDescent="0.35">
      <c r="A42" s="4">
        <v>43160</v>
      </c>
      <c r="B42" s="5">
        <v>46.119</v>
      </c>
    </row>
    <row r="43" spans="1:3" x14ac:dyDescent="0.35">
      <c r="A43" s="4">
        <v>43252</v>
      </c>
      <c r="B43" s="5">
        <v>97.649900000000002</v>
      </c>
    </row>
    <row r="44" spans="1:3" x14ac:dyDescent="0.35">
      <c r="A44" s="4">
        <v>43344</v>
      </c>
      <c r="B44" s="5">
        <v>55.482599999999998</v>
      </c>
    </row>
    <row r="45" spans="1:3" x14ac:dyDescent="0.35">
      <c r="A45" s="4">
        <v>43435</v>
      </c>
      <c r="B45" s="5">
        <v>82.873199999999997</v>
      </c>
      <c r="C45" s="5">
        <v>282.12470000000002</v>
      </c>
    </row>
    <row r="46" spans="1:3" x14ac:dyDescent="0.35">
      <c r="A46" s="4">
        <v>43525</v>
      </c>
      <c r="B46" s="5">
        <v>11.704000000000001</v>
      </c>
    </row>
    <row r="47" spans="1:3" x14ac:dyDescent="0.35">
      <c r="A47" s="4">
        <v>43617</v>
      </c>
      <c r="B47" s="5">
        <v>9.7139000000000006</v>
      </c>
    </row>
    <row r="48" spans="1:3" x14ac:dyDescent="0.35">
      <c r="A48" s="4">
        <v>43709</v>
      </c>
      <c r="B48" s="5">
        <v>22.413399999999999</v>
      </c>
    </row>
    <row r="49" spans="1:3" x14ac:dyDescent="0.35">
      <c r="A49" s="4">
        <v>43800</v>
      </c>
      <c r="B49" s="5">
        <v>33.537199999999999</v>
      </c>
      <c r="C49" s="5">
        <v>77.368499999999997</v>
      </c>
    </row>
    <row r="50" spans="1:3" x14ac:dyDescent="0.35">
      <c r="A50" s="4">
        <v>43891</v>
      </c>
      <c r="B50" s="5">
        <v>19.846599999999999</v>
      </c>
    </row>
    <row r="51" spans="1:3" x14ac:dyDescent="0.35">
      <c r="A51" s="4">
        <v>43983</v>
      </c>
      <c r="B51" s="5">
        <v>139.88419999999999</v>
      </c>
    </row>
    <row r="52" spans="1:3" x14ac:dyDescent="0.35">
      <c r="A52" s="4">
        <v>44075</v>
      </c>
      <c r="B52" s="5">
        <v>55.535499999999999</v>
      </c>
    </row>
    <row r="53" spans="1:3" x14ac:dyDescent="0.35">
      <c r="A53" s="4">
        <v>44166</v>
      </c>
      <c r="B53" s="5">
        <v>179.50200000000001</v>
      </c>
      <c r="C53" s="5">
        <v>394.76830000000001</v>
      </c>
    </row>
    <row r="54" spans="1:3" x14ac:dyDescent="0.35">
      <c r="A54" s="4">
        <v>44256</v>
      </c>
      <c r="B54" s="5">
        <v>114.9829</v>
      </c>
    </row>
    <row r="55" spans="1:3" x14ac:dyDescent="0.35">
      <c r="A55" s="4">
        <v>44348</v>
      </c>
      <c r="B55" s="5">
        <v>28.493200000000002</v>
      </c>
    </row>
    <row r="56" spans="1:3" x14ac:dyDescent="0.35">
      <c r="A56" s="4">
        <v>44440</v>
      </c>
      <c r="B56" s="5">
        <v>318.01310000000001</v>
      </c>
    </row>
    <row r="57" spans="1:3" x14ac:dyDescent="0.35">
      <c r="A57" s="4">
        <v>44531</v>
      </c>
      <c r="B57" s="5">
        <v>238.90549999999999</v>
      </c>
      <c r="C57" s="5">
        <v>700.39469999999994</v>
      </c>
    </row>
    <row r="58" spans="1:3" x14ac:dyDescent="0.35">
      <c r="A58" s="4">
        <v>44621</v>
      </c>
      <c r="B58" s="5">
        <v>61.128900000000002</v>
      </c>
    </row>
    <row r="59" spans="1:3" x14ac:dyDescent="0.35">
      <c r="A59" s="4">
        <v>44713</v>
      </c>
      <c r="B59" s="5">
        <v>127.84650000000001</v>
      </c>
    </row>
    <row r="60" spans="1:3" x14ac:dyDescent="0.35">
      <c r="A60" s="4">
        <v>44805</v>
      </c>
      <c r="B60" s="5">
        <v>90.355099999999993</v>
      </c>
    </row>
    <row r="61" spans="1:3" x14ac:dyDescent="0.35">
      <c r="A61" s="4">
        <v>44896</v>
      </c>
      <c r="B61" s="5">
        <v>204.18430000000001</v>
      </c>
      <c r="C61" s="5">
        <v>483.51479999999998</v>
      </c>
    </row>
    <row r="62" spans="1:3" x14ac:dyDescent="0.35">
      <c r="A62" s="4">
        <v>44986</v>
      </c>
      <c r="B62" s="5">
        <v>344.46719999999999</v>
      </c>
    </row>
    <row r="63" spans="1:3" x14ac:dyDescent="0.35">
      <c r="A63" s="4">
        <v>45078</v>
      </c>
      <c r="B63" s="5">
        <v>586.80999999999995</v>
      </c>
    </row>
    <row r="64" spans="1:3" x14ac:dyDescent="0.35">
      <c r="A64" s="4">
        <v>45170</v>
      </c>
      <c r="B64" s="5">
        <v>242.2747</v>
      </c>
    </row>
    <row r="65" spans="1:3" x14ac:dyDescent="0.35">
      <c r="A65" s="4">
        <v>45261</v>
      </c>
      <c r="B65" s="5">
        <v>467.94049999999999</v>
      </c>
      <c r="C65" s="5">
        <v>1641.4924000000001</v>
      </c>
    </row>
    <row r="66" spans="1:3" x14ac:dyDescent="0.35">
      <c r="A66" s="4">
        <v>45352</v>
      </c>
      <c r="B66" s="5">
        <v>140.26410000000001</v>
      </c>
    </row>
    <row r="67" spans="1:3" x14ac:dyDescent="0.35">
      <c r="A67" s="4">
        <v>45444</v>
      </c>
      <c r="B67" s="5">
        <v>466.63560000000001</v>
      </c>
    </row>
    <row r="68" spans="1:3" x14ac:dyDescent="0.35">
      <c r="A68" s="4">
        <v>45536</v>
      </c>
      <c r="B68" s="5">
        <v>472.73270000000002</v>
      </c>
    </row>
    <row r="69" spans="1:3" x14ac:dyDescent="0.35">
      <c r="A69" s="4">
        <v>45627</v>
      </c>
      <c r="B69" s="5">
        <v>564.19330000000002</v>
      </c>
      <c r="C69" s="5">
        <v>1643.8257000000001</v>
      </c>
    </row>
    <row r="70" spans="1:3" x14ac:dyDescent="0.35">
      <c r="A70" s="4">
        <v>45717</v>
      </c>
      <c r="B70" s="5">
        <v>370.96038823999999</v>
      </c>
    </row>
    <row r="71" spans="1:3" x14ac:dyDescent="0.35">
      <c r="A71" s="4">
        <v>45809</v>
      </c>
      <c r="B71" s="5">
        <v>596.45505245000004</v>
      </c>
    </row>
    <row r="72" spans="1:3" x14ac:dyDescent="0.35">
      <c r="A72" s="4">
        <v>45901</v>
      </c>
      <c r="B72" s="5">
        <v>366.48831228</v>
      </c>
    </row>
    <row r="73" spans="1:3" x14ac:dyDescent="0.35">
      <c r="A73" s="4">
        <v>45992</v>
      </c>
      <c r="B73" s="5">
        <v>312.53452340000001</v>
      </c>
      <c r="C73" s="5">
        <v>1646.43827637</v>
      </c>
    </row>
    <row r="74" spans="1:3" x14ac:dyDescent="0.35">
      <c r="A74" s="4">
        <v>46082</v>
      </c>
      <c r="B74" s="5">
        <v>440.08800503999998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SR4831699</Code>
          <DisplayName>Investment Realization: Foreign: Secondary Sector: Leather Goods &amp; Footwear Industy</DisplayName>
          <EndCol>2</EndCol>
          <EndRow>74</EndRow>
          <InitCol>2</InitCol>
          <InitRow>1</InitRow>
          <Name>Investment Realization: Foreign: Secondary Sector: Leather Goods &amp; Footwear Industy</Name>
          <Order>1</Order>
          <SeriesId>235844102</SeriesId>
        </MetadataSeries>
        <MetadataSeries>
          <Code>SR4831699</Code>
          <DisplayName>Investment Realization: Foreign: Secondary Sector: Leather Goods &amp; Footwear Industy</DisplayName>
          <EndCol>3</EndCol>
          <EndRow>74</EndRow>
          <InitCol>3</InitCol>
          <InitRow>1</InitRow>
          <Name>Investment Realization: Foreign: Secondary Sector: Leather Goods &amp; Footwear Industy</Name>
          <Order>2</Order>
          <SeriesId>235844102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7149CD3D-2545-4BD8-BF81-BA4C31EF579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Chart Data</vt:lpstr>
      <vt:lpstr>My Series</vt:lpstr>
      <vt:lpstr>My Series (2)</vt:lpstr>
      <vt:lpstr>My Series (3)</vt:lpstr>
      <vt:lpstr>My Series (4)</vt:lpstr>
      <vt:lpstr>My Series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Reyhan Muhammad Hatta</cp:lastModifiedBy>
  <dcterms:created xsi:type="dcterms:W3CDTF">2026-06-18T07:18:34Z</dcterms:created>
  <dcterms:modified xsi:type="dcterms:W3CDTF">2026-06-19T03:49:02Z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{7149CD3D-2545-4BD8-BF81-BA4C31EF5793}</vt:lpwstr>
  </property>
</Properties>
</file>